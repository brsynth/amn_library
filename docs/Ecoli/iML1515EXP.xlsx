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an-loup-faulon/Desktop/AMN/AMN_QP/Dataset_input/"/>
    </mc:Choice>
  </mc:AlternateContent>
  <xr:revisionPtr revIDLastSave="0" documentId="13_ncr:1_{D4D415C0-9B44-6344-B7B0-278EA6C949E4}" xr6:coauthVersionLast="47" xr6:coauthVersionMax="47" xr10:uidLastSave="{00000000-0000-0000-0000-000000000000}"/>
  <bookViews>
    <workbookView xWindow="4880" yWindow="2200" windowWidth="38400" windowHeight="19960" xr2:uid="{00000000-000D-0000-FFFF-FFFF00000000}"/>
  </bookViews>
  <sheets>
    <sheet name="Paul dataset" sheetId="3" r:id="rId1"/>
    <sheet name="Full results" sheetId="1" r:id="rId2"/>
    <sheet name="Doublons" sheetId="2" r:id="rId3"/>
    <sheet name="coun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" i="3" l="1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H78" i="3"/>
  <c r="AH79" i="3"/>
  <c r="AH80" i="3"/>
  <c r="AH81" i="3"/>
  <c r="AH82" i="3"/>
  <c r="AH83" i="3"/>
  <c r="AH84" i="3"/>
  <c r="AH85" i="3"/>
  <c r="AH86" i="3"/>
  <c r="AH87" i="3"/>
  <c r="AH88" i="3"/>
  <c r="AH89" i="3"/>
  <c r="AH90" i="3"/>
  <c r="AH91" i="3"/>
  <c r="AH92" i="3"/>
  <c r="AH93" i="3"/>
  <c r="AH94" i="3"/>
  <c r="AH95" i="3"/>
  <c r="AH96" i="3"/>
  <c r="AH97" i="3"/>
  <c r="AH98" i="3"/>
  <c r="AH99" i="3"/>
  <c r="AH100" i="3"/>
  <c r="AH101" i="3"/>
  <c r="AH102" i="3"/>
  <c r="AH103" i="3"/>
  <c r="AH104" i="3"/>
  <c r="AH105" i="3"/>
  <c r="AH106" i="3"/>
  <c r="AH107" i="3"/>
  <c r="AH108" i="3"/>
  <c r="AH109" i="3"/>
  <c r="AH110" i="3"/>
  <c r="AH111" i="3"/>
  <c r="AH112" i="3"/>
  <c r="AH113" i="3"/>
  <c r="AH114" i="3"/>
  <c r="AH115" i="3"/>
  <c r="AH116" i="3"/>
  <c r="AH117" i="3"/>
  <c r="AH118" i="3"/>
  <c r="AH119" i="3"/>
  <c r="AH120" i="3"/>
  <c r="AH121" i="3"/>
  <c r="AH122" i="3"/>
  <c r="AH123" i="3"/>
  <c r="AH124" i="3"/>
  <c r="AH125" i="3"/>
  <c r="AH126" i="3"/>
  <c r="AH127" i="3"/>
  <c r="AH128" i="3"/>
  <c r="AH129" i="3"/>
  <c r="AH130" i="3"/>
  <c r="AH131" i="3"/>
  <c r="AH132" i="3"/>
  <c r="AH133" i="3"/>
  <c r="AH134" i="3"/>
  <c r="AH135" i="3"/>
  <c r="AH136" i="3"/>
  <c r="AH137" i="3"/>
  <c r="AH138" i="3"/>
  <c r="AH139" i="3"/>
  <c r="AH140" i="3"/>
  <c r="AH141" i="3"/>
  <c r="AH142" i="3"/>
  <c r="AH143" i="3"/>
  <c r="AH144" i="3"/>
  <c r="AH145" i="3"/>
  <c r="AH146" i="3"/>
  <c r="AH147" i="3"/>
  <c r="AH148" i="3"/>
  <c r="AH149" i="3"/>
  <c r="AH150" i="3"/>
  <c r="AH151" i="3"/>
  <c r="AH152" i="3"/>
  <c r="AH153" i="3"/>
  <c r="AH154" i="3"/>
  <c r="AH155" i="3"/>
  <c r="AH156" i="3"/>
  <c r="AH157" i="3"/>
  <c r="AH158" i="3"/>
  <c r="AH159" i="3"/>
  <c r="AH160" i="3"/>
  <c r="AH161" i="3"/>
  <c r="AH162" i="3"/>
  <c r="AH163" i="3"/>
  <c r="AH164" i="3"/>
  <c r="AH165" i="3"/>
  <c r="AH166" i="3"/>
  <c r="AH167" i="3"/>
  <c r="AH168" i="3"/>
  <c r="AH169" i="3"/>
  <c r="AH170" i="3"/>
  <c r="AH171" i="3"/>
  <c r="AH172" i="3"/>
  <c r="AH173" i="3"/>
  <c r="AH174" i="3"/>
  <c r="AH175" i="3"/>
  <c r="AH176" i="3"/>
  <c r="AH177" i="3"/>
  <c r="AH178" i="3"/>
  <c r="AH179" i="3"/>
  <c r="AH180" i="3"/>
  <c r="AH181" i="3"/>
  <c r="AH182" i="3"/>
  <c r="AH183" i="3"/>
  <c r="AH184" i="3"/>
  <c r="AH185" i="3"/>
  <c r="AH186" i="3"/>
  <c r="AH187" i="3"/>
  <c r="AH188" i="3"/>
  <c r="AH189" i="3"/>
  <c r="AH190" i="3"/>
  <c r="AH191" i="3"/>
  <c r="AH192" i="3"/>
  <c r="AH193" i="3"/>
  <c r="AH194" i="3"/>
  <c r="AH195" i="3"/>
  <c r="AH196" i="3"/>
  <c r="AH197" i="3"/>
  <c r="AH198" i="3"/>
  <c r="AH199" i="3"/>
  <c r="AH200" i="3"/>
  <c r="AH201" i="3"/>
  <c r="AH202" i="3"/>
  <c r="AH203" i="3"/>
  <c r="AH204" i="3"/>
  <c r="AH205" i="3"/>
  <c r="AH206" i="3"/>
  <c r="AH207" i="3"/>
  <c r="AH208" i="3"/>
  <c r="AH209" i="3"/>
  <c r="AH210" i="3"/>
  <c r="AH211" i="3"/>
  <c r="AH212" i="3"/>
  <c r="AH213" i="3"/>
  <c r="AH214" i="3"/>
  <c r="AH215" i="3"/>
  <c r="AH216" i="3"/>
  <c r="AH217" i="3"/>
  <c r="AH218" i="3"/>
  <c r="AH219" i="3"/>
  <c r="AH220" i="3"/>
  <c r="AH221" i="3"/>
  <c r="AH222" i="3"/>
  <c r="AH223" i="3"/>
  <c r="AH224" i="3"/>
  <c r="AH225" i="3"/>
  <c r="AH226" i="3"/>
  <c r="AH227" i="3"/>
  <c r="AH228" i="3"/>
  <c r="AH229" i="3"/>
  <c r="AH230" i="3"/>
  <c r="AH231" i="3"/>
  <c r="AH232" i="3"/>
  <c r="AH233" i="3"/>
  <c r="AH234" i="3"/>
  <c r="AH235" i="3"/>
  <c r="AH236" i="3"/>
  <c r="AH237" i="3"/>
  <c r="AH238" i="3"/>
  <c r="AH239" i="3"/>
  <c r="AH240" i="3"/>
  <c r="AH241" i="3"/>
  <c r="AH242" i="3"/>
  <c r="AH243" i="3"/>
  <c r="AH244" i="3"/>
  <c r="AH245" i="3"/>
  <c r="AH246" i="3"/>
  <c r="AH247" i="3"/>
  <c r="AH248" i="3"/>
  <c r="AH249" i="3"/>
  <c r="AH250" i="3"/>
  <c r="AH251" i="3"/>
  <c r="AH252" i="3"/>
  <c r="AH253" i="3"/>
  <c r="AH254" i="3"/>
  <c r="AH255" i="3"/>
  <c r="AH256" i="3"/>
  <c r="AH257" i="3"/>
  <c r="AH258" i="3"/>
  <c r="AH259" i="3"/>
  <c r="AH260" i="3"/>
  <c r="AH261" i="3"/>
  <c r="AH262" i="3"/>
  <c r="AH263" i="3"/>
  <c r="AH264" i="3"/>
  <c r="AH265" i="3"/>
  <c r="AH266" i="3"/>
  <c r="AH267" i="3"/>
  <c r="AH268" i="3"/>
  <c r="AH269" i="3"/>
  <c r="AH270" i="3"/>
  <c r="AH271" i="3"/>
  <c r="AH272" i="3"/>
  <c r="AH273" i="3"/>
  <c r="AH274" i="3"/>
  <c r="AH275" i="3"/>
  <c r="AH276" i="3"/>
  <c r="AH277" i="3"/>
  <c r="AH278" i="3"/>
  <c r="AH279" i="3"/>
  <c r="AH280" i="3"/>
  <c r="AH281" i="3"/>
  <c r="AH2" i="3"/>
  <c r="N5" i="4"/>
  <c r="O5" i="4"/>
  <c r="P5" i="4"/>
  <c r="Q5" i="4"/>
  <c r="N6" i="4"/>
  <c r="P6" i="4" s="1"/>
  <c r="O6" i="4"/>
  <c r="N7" i="4"/>
  <c r="O7" i="4"/>
  <c r="N8" i="4"/>
  <c r="O8" i="4"/>
  <c r="N9" i="4"/>
  <c r="O9" i="4"/>
  <c r="N10" i="4"/>
  <c r="O10" i="4"/>
  <c r="N11" i="4"/>
  <c r="O11" i="4"/>
  <c r="N12" i="4"/>
  <c r="O12" i="4"/>
  <c r="N13" i="4"/>
  <c r="O13" i="4"/>
  <c r="N14" i="4"/>
  <c r="O14" i="4"/>
  <c r="N15" i="4"/>
  <c r="O15" i="4"/>
  <c r="N16" i="4"/>
  <c r="O16" i="4"/>
  <c r="N17" i="4"/>
  <c r="O17" i="4"/>
  <c r="N18" i="4"/>
  <c r="O18" i="4"/>
  <c r="N19" i="4"/>
  <c r="O19" i="4"/>
  <c r="N20" i="4"/>
  <c r="O20" i="4"/>
  <c r="N21" i="4"/>
  <c r="O21" i="4"/>
  <c r="N22" i="4"/>
  <c r="O22" i="4"/>
  <c r="N23" i="4"/>
  <c r="O23" i="4"/>
  <c r="N24" i="4"/>
  <c r="O24" i="4"/>
  <c r="N25" i="4"/>
  <c r="O25" i="4"/>
  <c r="N26" i="4"/>
  <c r="O26" i="4"/>
  <c r="N27" i="4"/>
  <c r="O27" i="4"/>
  <c r="N28" i="4"/>
  <c r="O28" i="4"/>
  <c r="N29" i="4"/>
  <c r="O29" i="4"/>
  <c r="N30" i="4"/>
  <c r="O30" i="4"/>
  <c r="N31" i="4"/>
  <c r="O31" i="4"/>
  <c r="N32" i="4"/>
  <c r="O32" i="4"/>
  <c r="N33" i="4"/>
  <c r="O33" i="4"/>
  <c r="N34" i="4"/>
  <c r="O34" i="4"/>
  <c r="N35" i="4"/>
  <c r="O35" i="4"/>
  <c r="N36" i="4"/>
  <c r="O36" i="4"/>
  <c r="N37" i="4"/>
  <c r="O37" i="4"/>
  <c r="N38" i="4"/>
  <c r="O38" i="4"/>
  <c r="N39" i="4"/>
  <c r="O39" i="4"/>
  <c r="N40" i="4"/>
  <c r="O40" i="4"/>
  <c r="N41" i="4"/>
  <c r="O41" i="4"/>
  <c r="N42" i="4"/>
  <c r="O42" i="4"/>
  <c r="N43" i="4"/>
  <c r="O43" i="4"/>
  <c r="N44" i="4"/>
  <c r="O44" i="4"/>
  <c r="N45" i="4"/>
  <c r="O45" i="4"/>
  <c r="N46" i="4"/>
  <c r="O46" i="4"/>
  <c r="N47" i="4"/>
  <c r="O47" i="4"/>
  <c r="N48" i="4"/>
  <c r="O48" i="4"/>
  <c r="N49" i="4"/>
  <c r="O49" i="4"/>
  <c r="N50" i="4"/>
  <c r="O50" i="4"/>
  <c r="N51" i="4"/>
  <c r="O51" i="4"/>
  <c r="N52" i="4"/>
  <c r="O52" i="4"/>
  <c r="N53" i="4"/>
  <c r="O53" i="4"/>
  <c r="N54" i="4"/>
  <c r="O54" i="4"/>
  <c r="N55" i="4"/>
  <c r="O55" i="4"/>
  <c r="N56" i="4"/>
  <c r="O56" i="4"/>
  <c r="N57" i="4"/>
  <c r="O57" i="4"/>
  <c r="N58" i="4"/>
  <c r="O58" i="4"/>
  <c r="N59" i="4"/>
  <c r="O59" i="4"/>
  <c r="N60" i="4"/>
  <c r="O60" i="4"/>
  <c r="N61" i="4"/>
  <c r="O61" i="4"/>
  <c r="N62" i="4"/>
  <c r="O62" i="4"/>
  <c r="N63" i="4"/>
  <c r="O63" i="4"/>
  <c r="N64" i="4"/>
  <c r="O64" i="4"/>
  <c r="N65" i="4"/>
  <c r="O65" i="4"/>
  <c r="N66" i="4"/>
  <c r="O66" i="4"/>
  <c r="N67" i="4"/>
  <c r="O67" i="4"/>
  <c r="N68" i="4"/>
  <c r="O68" i="4"/>
  <c r="N69" i="4"/>
  <c r="O69" i="4"/>
  <c r="N70" i="4"/>
  <c r="O70" i="4"/>
  <c r="N71" i="4"/>
  <c r="O71" i="4"/>
  <c r="N72" i="4"/>
  <c r="O72" i="4"/>
  <c r="N73" i="4"/>
  <c r="O73" i="4"/>
  <c r="N74" i="4"/>
  <c r="O74" i="4"/>
  <c r="N75" i="4"/>
  <c r="O75" i="4"/>
  <c r="N76" i="4"/>
  <c r="O76" i="4"/>
  <c r="N77" i="4"/>
  <c r="O77" i="4"/>
  <c r="N78" i="4"/>
  <c r="O78" i="4"/>
  <c r="N79" i="4"/>
  <c r="O79" i="4"/>
  <c r="N80" i="4"/>
  <c r="O80" i="4"/>
  <c r="N81" i="4"/>
  <c r="O81" i="4"/>
  <c r="N82" i="4"/>
  <c r="O82" i="4"/>
  <c r="N83" i="4"/>
  <c r="O83" i="4"/>
  <c r="N84" i="4"/>
  <c r="O84" i="4"/>
  <c r="N85" i="4"/>
  <c r="O85" i="4"/>
  <c r="N86" i="4"/>
  <c r="O86" i="4"/>
  <c r="N87" i="4"/>
  <c r="O87" i="4"/>
  <c r="N88" i="4"/>
  <c r="O88" i="4"/>
  <c r="N89" i="4"/>
  <c r="O89" i="4"/>
  <c r="N90" i="4"/>
  <c r="O90" i="4"/>
  <c r="N91" i="4"/>
  <c r="O91" i="4"/>
  <c r="N92" i="4"/>
  <c r="O92" i="4"/>
  <c r="N93" i="4"/>
  <c r="O93" i="4"/>
  <c r="N94" i="4"/>
  <c r="O94" i="4"/>
  <c r="N95" i="4"/>
  <c r="O95" i="4"/>
  <c r="N96" i="4"/>
  <c r="O96" i="4"/>
  <c r="N97" i="4"/>
  <c r="O97" i="4"/>
  <c r="N98" i="4"/>
  <c r="O98" i="4"/>
  <c r="N99" i="4"/>
  <c r="O99" i="4"/>
  <c r="N100" i="4"/>
  <c r="O100" i="4"/>
  <c r="N101" i="4"/>
  <c r="O101" i="4"/>
  <c r="N102" i="4"/>
  <c r="O102" i="4"/>
  <c r="N103" i="4"/>
  <c r="O103" i="4"/>
  <c r="N104" i="4"/>
  <c r="O104" i="4"/>
  <c r="N105" i="4"/>
  <c r="O105" i="4"/>
  <c r="N106" i="4"/>
  <c r="O106" i="4"/>
  <c r="N107" i="4"/>
  <c r="O107" i="4"/>
  <c r="N108" i="4"/>
  <c r="O108" i="4"/>
  <c r="N109" i="4"/>
  <c r="O109" i="4"/>
  <c r="N110" i="4"/>
  <c r="O110" i="4"/>
  <c r="N111" i="4"/>
  <c r="O111" i="4"/>
  <c r="N112" i="4"/>
  <c r="O112" i="4"/>
  <c r="N113" i="4"/>
  <c r="O113" i="4"/>
  <c r="N114" i="4"/>
  <c r="O114" i="4"/>
  <c r="N115" i="4"/>
  <c r="O115" i="4"/>
  <c r="N116" i="4"/>
  <c r="O116" i="4"/>
  <c r="N117" i="4"/>
  <c r="O117" i="4"/>
  <c r="N118" i="4"/>
  <c r="O118" i="4"/>
  <c r="N119" i="4"/>
  <c r="O119" i="4"/>
  <c r="N120" i="4"/>
  <c r="O120" i="4"/>
  <c r="N121" i="4"/>
  <c r="O121" i="4"/>
  <c r="N122" i="4"/>
  <c r="O122" i="4"/>
  <c r="N123" i="4"/>
  <c r="O123" i="4"/>
  <c r="N124" i="4"/>
  <c r="O124" i="4"/>
  <c r="N125" i="4"/>
  <c r="O125" i="4"/>
  <c r="N126" i="4"/>
  <c r="O126" i="4"/>
  <c r="N127" i="4"/>
  <c r="O127" i="4"/>
  <c r="N128" i="4"/>
  <c r="O128" i="4"/>
  <c r="N129" i="4"/>
  <c r="O129" i="4"/>
  <c r="N130" i="4"/>
  <c r="O130" i="4"/>
  <c r="N131" i="4"/>
  <c r="O131" i="4"/>
  <c r="N132" i="4"/>
  <c r="O132" i="4"/>
  <c r="N133" i="4"/>
  <c r="O133" i="4"/>
  <c r="N134" i="4"/>
  <c r="O134" i="4"/>
  <c r="N135" i="4"/>
  <c r="O135" i="4"/>
  <c r="N136" i="4"/>
  <c r="O136" i="4"/>
  <c r="N137" i="4"/>
  <c r="O137" i="4"/>
  <c r="N138" i="4"/>
  <c r="O138" i="4"/>
  <c r="N139" i="4"/>
  <c r="O139" i="4"/>
  <c r="N140" i="4"/>
  <c r="O140" i="4"/>
  <c r="N141" i="4"/>
  <c r="O141" i="4"/>
  <c r="N142" i="4"/>
  <c r="O142" i="4"/>
  <c r="N143" i="4"/>
  <c r="O143" i="4"/>
  <c r="N144" i="4"/>
  <c r="O144" i="4"/>
  <c r="N145" i="4"/>
  <c r="O145" i="4"/>
  <c r="N146" i="4"/>
  <c r="O146" i="4"/>
  <c r="N147" i="4"/>
  <c r="O147" i="4"/>
  <c r="N148" i="4"/>
  <c r="O148" i="4"/>
  <c r="N149" i="4"/>
  <c r="O149" i="4"/>
  <c r="N150" i="4"/>
  <c r="O150" i="4"/>
  <c r="N151" i="4"/>
  <c r="O151" i="4"/>
  <c r="N152" i="4"/>
  <c r="O152" i="4"/>
  <c r="N153" i="4"/>
  <c r="O153" i="4"/>
  <c r="N154" i="4"/>
  <c r="O154" i="4"/>
  <c r="N155" i="4"/>
  <c r="O155" i="4"/>
  <c r="N156" i="4"/>
  <c r="O156" i="4"/>
  <c r="N157" i="4"/>
  <c r="O157" i="4"/>
  <c r="N158" i="4"/>
  <c r="O158" i="4"/>
  <c r="N159" i="4"/>
  <c r="O159" i="4"/>
  <c r="N160" i="4"/>
  <c r="O160" i="4"/>
  <c r="N161" i="4"/>
  <c r="O161" i="4"/>
  <c r="N162" i="4"/>
  <c r="O162" i="4"/>
  <c r="N163" i="4"/>
  <c r="O163" i="4"/>
  <c r="N164" i="4"/>
  <c r="O164" i="4"/>
  <c r="N165" i="4"/>
  <c r="O165" i="4"/>
  <c r="N166" i="4"/>
  <c r="O166" i="4"/>
  <c r="N167" i="4"/>
  <c r="O167" i="4"/>
  <c r="N168" i="4"/>
  <c r="O168" i="4"/>
  <c r="N169" i="4"/>
  <c r="O169" i="4"/>
  <c r="N170" i="4"/>
  <c r="O170" i="4"/>
  <c r="N171" i="4"/>
  <c r="O171" i="4"/>
  <c r="N172" i="4"/>
  <c r="O172" i="4"/>
  <c r="N173" i="4"/>
  <c r="O173" i="4"/>
  <c r="N174" i="4"/>
  <c r="O174" i="4"/>
  <c r="N175" i="4"/>
  <c r="O175" i="4"/>
  <c r="N176" i="4"/>
  <c r="O176" i="4"/>
  <c r="N177" i="4"/>
  <c r="O177" i="4"/>
  <c r="N178" i="4"/>
  <c r="O178" i="4"/>
  <c r="N179" i="4"/>
  <c r="O179" i="4"/>
  <c r="N180" i="4"/>
  <c r="O180" i="4"/>
  <c r="N181" i="4"/>
  <c r="O181" i="4"/>
  <c r="N182" i="4"/>
  <c r="O182" i="4"/>
  <c r="N183" i="4"/>
  <c r="O183" i="4"/>
  <c r="N184" i="4"/>
  <c r="O184" i="4"/>
  <c r="N185" i="4"/>
  <c r="O185" i="4"/>
  <c r="N186" i="4"/>
  <c r="O186" i="4"/>
  <c r="N187" i="4"/>
  <c r="O187" i="4"/>
  <c r="N188" i="4"/>
  <c r="O188" i="4"/>
  <c r="N189" i="4"/>
  <c r="O189" i="4"/>
  <c r="N190" i="4"/>
  <c r="O190" i="4"/>
  <c r="N191" i="4"/>
  <c r="O191" i="4"/>
  <c r="N192" i="4"/>
  <c r="O192" i="4"/>
  <c r="N193" i="4"/>
  <c r="O193" i="4"/>
  <c r="N194" i="4"/>
  <c r="O194" i="4"/>
  <c r="N195" i="4"/>
  <c r="O195" i="4"/>
  <c r="N196" i="4"/>
  <c r="O196" i="4"/>
  <c r="N197" i="4"/>
  <c r="O197" i="4"/>
  <c r="P3" i="4"/>
  <c r="P2" i="4"/>
  <c r="N2" i="4"/>
  <c r="O4" i="4"/>
  <c r="N4" i="4"/>
  <c r="O3" i="4"/>
  <c r="N3" i="4"/>
  <c r="O2" i="4"/>
  <c r="G1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3" i="4"/>
  <c r="F279" i="4"/>
  <c r="F280" i="4" s="1"/>
  <c r="F281" i="4" s="1"/>
  <c r="F12" i="4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6" i="4"/>
  <c r="F4" i="4"/>
  <c r="F5" i="4" s="1"/>
  <c r="F3" i="4"/>
  <c r="F2" i="4"/>
  <c r="D69" i="4"/>
  <c r="E69" i="4"/>
  <c r="D70" i="4"/>
  <c r="E70" i="4"/>
  <c r="D71" i="4"/>
  <c r="E71" i="4"/>
  <c r="D72" i="4"/>
  <c r="E72" i="4"/>
  <c r="D73" i="4"/>
  <c r="E73" i="4"/>
  <c r="D74" i="4"/>
  <c r="E74" i="4"/>
  <c r="D75" i="4"/>
  <c r="E75" i="4"/>
  <c r="D76" i="4"/>
  <c r="E76" i="4"/>
  <c r="D77" i="4"/>
  <c r="E77" i="4"/>
  <c r="D78" i="4"/>
  <c r="E78" i="4"/>
  <c r="D79" i="4"/>
  <c r="E79" i="4"/>
  <c r="D80" i="4"/>
  <c r="E80" i="4"/>
  <c r="D81" i="4"/>
  <c r="E81" i="4"/>
  <c r="D82" i="4"/>
  <c r="E82" i="4"/>
  <c r="D83" i="4"/>
  <c r="E83" i="4"/>
  <c r="D84" i="4"/>
  <c r="E84" i="4"/>
  <c r="D85" i="4"/>
  <c r="E85" i="4"/>
  <c r="D86" i="4"/>
  <c r="E86" i="4"/>
  <c r="D87" i="4"/>
  <c r="E87" i="4"/>
  <c r="D88" i="4"/>
  <c r="E88" i="4"/>
  <c r="D89" i="4"/>
  <c r="E89" i="4"/>
  <c r="D90" i="4"/>
  <c r="E90" i="4"/>
  <c r="D91" i="4"/>
  <c r="E91" i="4"/>
  <c r="D92" i="4"/>
  <c r="E92" i="4"/>
  <c r="D93" i="4"/>
  <c r="E93" i="4"/>
  <c r="D94" i="4"/>
  <c r="E94" i="4"/>
  <c r="D95" i="4"/>
  <c r="E95" i="4"/>
  <c r="D96" i="4"/>
  <c r="E96" i="4"/>
  <c r="D97" i="4"/>
  <c r="E97" i="4"/>
  <c r="D98" i="4"/>
  <c r="E98" i="4"/>
  <c r="D99" i="4"/>
  <c r="E99" i="4"/>
  <c r="D100" i="4"/>
  <c r="E100" i="4"/>
  <c r="D101" i="4"/>
  <c r="E101" i="4"/>
  <c r="D102" i="4"/>
  <c r="E102" i="4"/>
  <c r="D103" i="4"/>
  <c r="E103" i="4"/>
  <c r="D104" i="4"/>
  <c r="E104" i="4"/>
  <c r="D105" i="4"/>
  <c r="E105" i="4"/>
  <c r="D106" i="4"/>
  <c r="E106" i="4"/>
  <c r="D107" i="4"/>
  <c r="E107" i="4"/>
  <c r="D108" i="4"/>
  <c r="E108" i="4"/>
  <c r="D109" i="4"/>
  <c r="E109" i="4"/>
  <c r="D110" i="4"/>
  <c r="E110" i="4"/>
  <c r="D111" i="4"/>
  <c r="E111" i="4"/>
  <c r="D112" i="4"/>
  <c r="E112" i="4"/>
  <c r="D113" i="4"/>
  <c r="E113" i="4"/>
  <c r="D114" i="4"/>
  <c r="E114" i="4"/>
  <c r="D115" i="4"/>
  <c r="E115" i="4"/>
  <c r="D116" i="4"/>
  <c r="E116" i="4"/>
  <c r="D117" i="4"/>
  <c r="E117" i="4"/>
  <c r="D118" i="4"/>
  <c r="E118" i="4"/>
  <c r="D119" i="4"/>
  <c r="E119" i="4"/>
  <c r="D120" i="4"/>
  <c r="E120" i="4"/>
  <c r="D121" i="4"/>
  <c r="E121" i="4"/>
  <c r="D122" i="4"/>
  <c r="E122" i="4"/>
  <c r="D123" i="4"/>
  <c r="E123" i="4"/>
  <c r="D124" i="4"/>
  <c r="E124" i="4"/>
  <c r="D125" i="4"/>
  <c r="E125" i="4"/>
  <c r="D126" i="4"/>
  <c r="E126" i="4"/>
  <c r="D127" i="4"/>
  <c r="E127" i="4"/>
  <c r="D128" i="4"/>
  <c r="E128" i="4"/>
  <c r="D129" i="4"/>
  <c r="E129" i="4"/>
  <c r="D130" i="4"/>
  <c r="E130" i="4"/>
  <c r="D131" i="4"/>
  <c r="E131" i="4"/>
  <c r="D132" i="4"/>
  <c r="E132" i="4"/>
  <c r="D133" i="4"/>
  <c r="E133" i="4"/>
  <c r="D134" i="4"/>
  <c r="E134" i="4"/>
  <c r="D135" i="4"/>
  <c r="E135" i="4"/>
  <c r="D136" i="4"/>
  <c r="E136" i="4"/>
  <c r="D137" i="4"/>
  <c r="E137" i="4"/>
  <c r="D138" i="4"/>
  <c r="E138" i="4"/>
  <c r="D139" i="4"/>
  <c r="E139" i="4"/>
  <c r="D140" i="4"/>
  <c r="E140" i="4"/>
  <c r="D141" i="4"/>
  <c r="E141" i="4"/>
  <c r="D142" i="4"/>
  <c r="E142" i="4"/>
  <c r="D143" i="4"/>
  <c r="E143" i="4"/>
  <c r="D144" i="4"/>
  <c r="E144" i="4"/>
  <c r="D145" i="4"/>
  <c r="E145" i="4"/>
  <c r="D146" i="4"/>
  <c r="E146" i="4"/>
  <c r="D147" i="4"/>
  <c r="E147" i="4"/>
  <c r="D148" i="4"/>
  <c r="E148" i="4"/>
  <c r="D149" i="4"/>
  <c r="E149" i="4"/>
  <c r="D150" i="4"/>
  <c r="E150" i="4"/>
  <c r="D151" i="4"/>
  <c r="E151" i="4"/>
  <c r="D152" i="4"/>
  <c r="E152" i="4"/>
  <c r="D153" i="4"/>
  <c r="E153" i="4"/>
  <c r="D154" i="4"/>
  <c r="E154" i="4"/>
  <c r="D155" i="4"/>
  <c r="E155" i="4"/>
  <c r="D156" i="4"/>
  <c r="E156" i="4"/>
  <c r="D157" i="4"/>
  <c r="E157" i="4"/>
  <c r="D158" i="4"/>
  <c r="E158" i="4"/>
  <c r="D159" i="4"/>
  <c r="E159" i="4"/>
  <c r="D160" i="4"/>
  <c r="E160" i="4"/>
  <c r="D161" i="4"/>
  <c r="E161" i="4"/>
  <c r="D162" i="4"/>
  <c r="E162" i="4"/>
  <c r="D163" i="4"/>
  <c r="E163" i="4"/>
  <c r="D164" i="4"/>
  <c r="E164" i="4"/>
  <c r="D165" i="4"/>
  <c r="E165" i="4"/>
  <c r="D166" i="4"/>
  <c r="E166" i="4"/>
  <c r="D167" i="4"/>
  <c r="E167" i="4"/>
  <c r="D168" i="4"/>
  <c r="E168" i="4"/>
  <c r="D169" i="4"/>
  <c r="E169" i="4"/>
  <c r="D170" i="4"/>
  <c r="E170" i="4"/>
  <c r="D171" i="4"/>
  <c r="E171" i="4"/>
  <c r="D172" i="4"/>
  <c r="E172" i="4"/>
  <c r="D173" i="4"/>
  <c r="E173" i="4"/>
  <c r="D174" i="4"/>
  <c r="E174" i="4"/>
  <c r="D175" i="4"/>
  <c r="E175" i="4"/>
  <c r="D176" i="4"/>
  <c r="E176" i="4"/>
  <c r="D177" i="4"/>
  <c r="E177" i="4"/>
  <c r="D178" i="4"/>
  <c r="E178" i="4"/>
  <c r="D179" i="4"/>
  <c r="E179" i="4"/>
  <c r="D180" i="4"/>
  <c r="E180" i="4"/>
  <c r="D181" i="4"/>
  <c r="E181" i="4"/>
  <c r="D182" i="4"/>
  <c r="E182" i="4"/>
  <c r="D183" i="4"/>
  <c r="E183" i="4"/>
  <c r="D184" i="4"/>
  <c r="E184" i="4"/>
  <c r="D185" i="4"/>
  <c r="E185" i="4"/>
  <c r="D186" i="4"/>
  <c r="E186" i="4"/>
  <c r="D187" i="4"/>
  <c r="E187" i="4"/>
  <c r="D188" i="4"/>
  <c r="E188" i="4"/>
  <c r="D189" i="4"/>
  <c r="E189" i="4"/>
  <c r="D190" i="4"/>
  <c r="E190" i="4"/>
  <c r="D191" i="4"/>
  <c r="E191" i="4"/>
  <c r="D192" i="4"/>
  <c r="E192" i="4"/>
  <c r="D193" i="4"/>
  <c r="E193" i="4"/>
  <c r="D194" i="4"/>
  <c r="E194" i="4"/>
  <c r="D195" i="4"/>
  <c r="E195" i="4"/>
  <c r="D196" i="4"/>
  <c r="E196" i="4"/>
  <c r="D197" i="4"/>
  <c r="E197" i="4"/>
  <c r="D198" i="4"/>
  <c r="E198" i="4"/>
  <c r="D199" i="4"/>
  <c r="E199" i="4"/>
  <c r="D200" i="4"/>
  <c r="E200" i="4"/>
  <c r="D201" i="4"/>
  <c r="E201" i="4"/>
  <c r="D202" i="4"/>
  <c r="E202" i="4"/>
  <c r="D203" i="4"/>
  <c r="E203" i="4"/>
  <c r="D204" i="4"/>
  <c r="E204" i="4"/>
  <c r="D205" i="4"/>
  <c r="E205" i="4"/>
  <c r="D206" i="4"/>
  <c r="E206" i="4"/>
  <c r="D207" i="4"/>
  <c r="E207" i="4"/>
  <c r="D208" i="4"/>
  <c r="E208" i="4"/>
  <c r="D209" i="4"/>
  <c r="E209" i="4"/>
  <c r="D210" i="4"/>
  <c r="E210" i="4"/>
  <c r="D211" i="4"/>
  <c r="E211" i="4"/>
  <c r="D212" i="4"/>
  <c r="E212" i="4"/>
  <c r="D213" i="4"/>
  <c r="E213" i="4"/>
  <c r="D214" i="4"/>
  <c r="E214" i="4"/>
  <c r="D215" i="4"/>
  <c r="E215" i="4"/>
  <c r="D216" i="4"/>
  <c r="E216" i="4"/>
  <c r="D217" i="4"/>
  <c r="E217" i="4"/>
  <c r="D218" i="4"/>
  <c r="E218" i="4"/>
  <c r="D219" i="4"/>
  <c r="E219" i="4"/>
  <c r="D220" i="4"/>
  <c r="E220" i="4"/>
  <c r="D221" i="4"/>
  <c r="E221" i="4"/>
  <c r="D222" i="4"/>
  <c r="E222" i="4"/>
  <c r="D223" i="4"/>
  <c r="E223" i="4"/>
  <c r="D224" i="4"/>
  <c r="E224" i="4"/>
  <c r="D225" i="4"/>
  <c r="E225" i="4"/>
  <c r="D226" i="4"/>
  <c r="E226" i="4"/>
  <c r="D227" i="4"/>
  <c r="E227" i="4"/>
  <c r="D228" i="4"/>
  <c r="E228" i="4"/>
  <c r="D229" i="4"/>
  <c r="E229" i="4"/>
  <c r="D230" i="4"/>
  <c r="E230" i="4"/>
  <c r="D231" i="4"/>
  <c r="E231" i="4"/>
  <c r="D232" i="4"/>
  <c r="E232" i="4"/>
  <c r="D233" i="4"/>
  <c r="E233" i="4"/>
  <c r="D234" i="4"/>
  <c r="E234" i="4"/>
  <c r="D235" i="4"/>
  <c r="E235" i="4"/>
  <c r="D236" i="4"/>
  <c r="E236" i="4"/>
  <c r="D237" i="4"/>
  <c r="E237" i="4"/>
  <c r="D238" i="4"/>
  <c r="E238" i="4"/>
  <c r="D239" i="4"/>
  <c r="E239" i="4"/>
  <c r="D240" i="4"/>
  <c r="E240" i="4"/>
  <c r="D241" i="4"/>
  <c r="E241" i="4"/>
  <c r="D242" i="4"/>
  <c r="E242" i="4"/>
  <c r="D243" i="4"/>
  <c r="E243" i="4"/>
  <c r="D244" i="4"/>
  <c r="E244" i="4"/>
  <c r="D245" i="4"/>
  <c r="E245" i="4"/>
  <c r="D246" i="4"/>
  <c r="E246" i="4"/>
  <c r="D247" i="4"/>
  <c r="E247" i="4"/>
  <c r="D248" i="4"/>
  <c r="E248" i="4"/>
  <c r="D249" i="4"/>
  <c r="E249" i="4"/>
  <c r="D250" i="4"/>
  <c r="E250" i="4"/>
  <c r="D251" i="4"/>
  <c r="E251" i="4"/>
  <c r="D252" i="4"/>
  <c r="E252" i="4"/>
  <c r="D253" i="4"/>
  <c r="E253" i="4"/>
  <c r="D254" i="4"/>
  <c r="E254" i="4"/>
  <c r="D255" i="4"/>
  <c r="E255" i="4"/>
  <c r="D256" i="4"/>
  <c r="E256" i="4"/>
  <c r="D257" i="4"/>
  <c r="E257" i="4"/>
  <c r="D258" i="4"/>
  <c r="E258" i="4"/>
  <c r="D259" i="4"/>
  <c r="E259" i="4"/>
  <c r="D260" i="4"/>
  <c r="E260" i="4"/>
  <c r="D261" i="4"/>
  <c r="E261" i="4"/>
  <c r="D262" i="4"/>
  <c r="E262" i="4"/>
  <c r="D263" i="4"/>
  <c r="E263" i="4"/>
  <c r="D264" i="4"/>
  <c r="E264" i="4"/>
  <c r="D265" i="4"/>
  <c r="E265" i="4"/>
  <c r="D266" i="4"/>
  <c r="E266" i="4"/>
  <c r="D267" i="4"/>
  <c r="E267" i="4"/>
  <c r="D268" i="4"/>
  <c r="E268" i="4"/>
  <c r="D269" i="4"/>
  <c r="E269" i="4"/>
  <c r="D270" i="4"/>
  <c r="E270" i="4"/>
  <c r="D271" i="4"/>
  <c r="E271" i="4"/>
  <c r="D272" i="4"/>
  <c r="E272" i="4"/>
  <c r="D273" i="4"/>
  <c r="E273" i="4"/>
  <c r="D274" i="4"/>
  <c r="E274" i="4"/>
  <c r="D275" i="4"/>
  <c r="E275" i="4"/>
  <c r="D276" i="4"/>
  <c r="E276" i="4"/>
  <c r="D277" i="4"/>
  <c r="E277" i="4"/>
  <c r="D278" i="4"/>
  <c r="E278" i="4"/>
  <c r="D279" i="4"/>
  <c r="E279" i="4"/>
  <c r="D280" i="4"/>
  <c r="E280" i="4"/>
  <c r="D281" i="4"/>
  <c r="E281" i="4"/>
  <c r="D3" i="4"/>
  <c r="E3" i="4"/>
  <c r="D4" i="4"/>
  <c r="E4" i="4"/>
  <c r="D5" i="4"/>
  <c r="E5" i="4"/>
  <c r="D6" i="4"/>
  <c r="E6" i="4"/>
  <c r="D7" i="4"/>
  <c r="E7" i="4"/>
  <c r="D8" i="4"/>
  <c r="E8" i="4"/>
  <c r="D9" i="4"/>
  <c r="E9" i="4"/>
  <c r="D10" i="4"/>
  <c r="E10" i="4"/>
  <c r="D11" i="4"/>
  <c r="E11" i="4"/>
  <c r="D12" i="4"/>
  <c r="E12" i="4"/>
  <c r="D13" i="4"/>
  <c r="E13" i="4"/>
  <c r="D14" i="4"/>
  <c r="E14" i="4"/>
  <c r="D15" i="4"/>
  <c r="E15" i="4"/>
  <c r="D16" i="4"/>
  <c r="E16" i="4"/>
  <c r="D17" i="4"/>
  <c r="E17" i="4"/>
  <c r="D18" i="4"/>
  <c r="E18" i="4"/>
  <c r="D19" i="4"/>
  <c r="E19" i="4"/>
  <c r="D20" i="4"/>
  <c r="E20" i="4"/>
  <c r="D21" i="4"/>
  <c r="E21" i="4"/>
  <c r="D22" i="4"/>
  <c r="E22" i="4"/>
  <c r="D23" i="4"/>
  <c r="E23" i="4"/>
  <c r="D24" i="4"/>
  <c r="E24" i="4"/>
  <c r="D25" i="4"/>
  <c r="E25" i="4"/>
  <c r="D26" i="4"/>
  <c r="E26" i="4"/>
  <c r="D27" i="4"/>
  <c r="E27" i="4"/>
  <c r="D28" i="4"/>
  <c r="E28" i="4"/>
  <c r="D29" i="4"/>
  <c r="E29" i="4"/>
  <c r="D30" i="4"/>
  <c r="E30" i="4"/>
  <c r="D31" i="4"/>
  <c r="E31" i="4"/>
  <c r="D32" i="4"/>
  <c r="E32" i="4"/>
  <c r="D33" i="4"/>
  <c r="E33" i="4"/>
  <c r="D34" i="4"/>
  <c r="E34" i="4"/>
  <c r="D35" i="4"/>
  <c r="E35" i="4"/>
  <c r="D36" i="4"/>
  <c r="E36" i="4"/>
  <c r="D37" i="4"/>
  <c r="E37" i="4"/>
  <c r="D38" i="4"/>
  <c r="E38" i="4"/>
  <c r="D39" i="4"/>
  <c r="E39" i="4"/>
  <c r="D40" i="4"/>
  <c r="E40" i="4"/>
  <c r="D41" i="4"/>
  <c r="E41" i="4"/>
  <c r="D42" i="4"/>
  <c r="E42" i="4"/>
  <c r="D43" i="4"/>
  <c r="E43" i="4"/>
  <c r="D44" i="4"/>
  <c r="E44" i="4"/>
  <c r="D45" i="4"/>
  <c r="E45" i="4"/>
  <c r="D46" i="4"/>
  <c r="E46" i="4"/>
  <c r="D47" i="4"/>
  <c r="E47" i="4"/>
  <c r="D48" i="4"/>
  <c r="E48" i="4"/>
  <c r="D49" i="4"/>
  <c r="E49" i="4"/>
  <c r="D50" i="4"/>
  <c r="E50" i="4"/>
  <c r="D51" i="4"/>
  <c r="E51" i="4"/>
  <c r="D52" i="4"/>
  <c r="E52" i="4"/>
  <c r="D53" i="4"/>
  <c r="E53" i="4"/>
  <c r="D54" i="4"/>
  <c r="E54" i="4"/>
  <c r="D55" i="4"/>
  <c r="E55" i="4"/>
  <c r="D56" i="4"/>
  <c r="E56" i="4"/>
  <c r="D57" i="4"/>
  <c r="E57" i="4"/>
  <c r="D58" i="4"/>
  <c r="E58" i="4"/>
  <c r="D59" i="4"/>
  <c r="E59" i="4"/>
  <c r="D60" i="4"/>
  <c r="E60" i="4"/>
  <c r="D61" i="4"/>
  <c r="E61" i="4"/>
  <c r="D62" i="4"/>
  <c r="E62" i="4"/>
  <c r="D63" i="4"/>
  <c r="E63" i="4"/>
  <c r="D64" i="4"/>
  <c r="E64" i="4"/>
  <c r="D65" i="4"/>
  <c r="E65" i="4"/>
  <c r="D66" i="4"/>
  <c r="E66" i="4"/>
  <c r="D67" i="4"/>
  <c r="E67" i="4"/>
  <c r="D68" i="4"/>
  <c r="E68" i="4"/>
  <c r="E2" i="4"/>
  <c r="D2" i="4"/>
  <c r="AF346" i="1"/>
  <c r="AG346" i="1" s="1"/>
  <c r="AF345" i="1"/>
  <c r="AG345" i="1" s="1"/>
  <c r="AG344" i="1"/>
  <c r="AF344" i="1"/>
  <c r="AF343" i="1"/>
  <c r="AG343" i="1" s="1"/>
  <c r="AF342" i="1"/>
  <c r="AG342" i="1" s="1"/>
  <c r="AF341" i="1"/>
  <c r="AG341" i="1" s="1"/>
  <c r="AG340" i="1"/>
  <c r="AF340" i="1"/>
  <c r="AF339" i="1"/>
  <c r="AG339" i="1" s="1"/>
  <c r="AF338" i="1"/>
  <c r="AG338" i="1" s="1"/>
  <c r="AF337" i="1"/>
  <c r="AG337" i="1" s="1"/>
  <c r="AG336" i="1"/>
  <c r="AF336" i="1"/>
  <c r="AF335" i="1"/>
  <c r="AG335" i="1" s="1"/>
  <c r="AF334" i="1"/>
  <c r="AG334" i="1" s="1"/>
  <c r="AF333" i="1"/>
  <c r="AG333" i="1" s="1"/>
  <c r="AG332" i="1"/>
  <c r="AF332" i="1"/>
  <c r="AF331" i="1"/>
  <c r="AG331" i="1" s="1"/>
  <c r="AF330" i="1"/>
  <c r="AG330" i="1" s="1"/>
  <c r="AF329" i="1"/>
  <c r="AG329" i="1" s="1"/>
  <c r="AG328" i="1"/>
  <c r="AF328" i="1"/>
  <c r="AF327" i="1"/>
  <c r="AG327" i="1" s="1"/>
  <c r="AF326" i="1"/>
  <c r="AG326" i="1" s="1"/>
  <c r="AF325" i="1"/>
  <c r="AG325" i="1" s="1"/>
  <c r="AG324" i="1"/>
  <c r="AF324" i="1"/>
  <c r="AF323" i="1"/>
  <c r="AG323" i="1" s="1"/>
  <c r="AF322" i="1"/>
  <c r="AG322" i="1" s="1"/>
  <c r="AF321" i="1"/>
  <c r="AG321" i="1" s="1"/>
  <c r="AG320" i="1"/>
  <c r="AF320" i="1"/>
  <c r="AF319" i="1"/>
  <c r="AG319" i="1" s="1"/>
  <c r="AF318" i="1"/>
  <c r="AG318" i="1" s="1"/>
  <c r="AF317" i="1"/>
  <c r="AG317" i="1" s="1"/>
  <c r="AG316" i="1"/>
  <c r="AF316" i="1"/>
  <c r="AF315" i="1"/>
  <c r="AG315" i="1" s="1"/>
  <c r="AF314" i="1"/>
  <c r="AG314" i="1" s="1"/>
  <c r="AF313" i="1"/>
  <c r="AG313" i="1" s="1"/>
  <c r="AG312" i="1"/>
  <c r="AF312" i="1"/>
  <c r="AF311" i="1"/>
  <c r="AG311" i="1" s="1"/>
  <c r="AF310" i="1"/>
  <c r="AG310" i="1" s="1"/>
  <c r="AF309" i="1"/>
  <c r="AG309" i="1" s="1"/>
  <c r="AG308" i="1"/>
  <c r="AF308" i="1"/>
  <c r="AF307" i="1"/>
  <c r="AG307" i="1" s="1"/>
  <c r="AF306" i="1"/>
  <c r="AG306" i="1" s="1"/>
  <c r="AF305" i="1"/>
  <c r="AG305" i="1" s="1"/>
  <c r="AG304" i="1"/>
  <c r="AF304" i="1"/>
  <c r="AF303" i="1"/>
  <c r="AG303" i="1" s="1"/>
  <c r="AF302" i="1"/>
  <c r="AG302" i="1" s="1"/>
  <c r="AF301" i="1"/>
  <c r="AG301" i="1" s="1"/>
  <c r="AG300" i="1"/>
  <c r="AF300" i="1"/>
  <c r="AF299" i="1"/>
  <c r="AG299" i="1" s="1"/>
  <c r="AF298" i="1"/>
  <c r="AG298" i="1" s="1"/>
  <c r="AF297" i="1"/>
  <c r="AG297" i="1" s="1"/>
  <c r="AG296" i="1"/>
  <c r="AF296" i="1"/>
  <c r="AF295" i="1"/>
  <c r="AG295" i="1" s="1"/>
  <c r="AF294" i="1"/>
  <c r="AG294" i="1" s="1"/>
  <c r="AF293" i="1"/>
  <c r="AG293" i="1" s="1"/>
  <c r="AG292" i="1"/>
  <c r="AF292" i="1"/>
  <c r="AF291" i="1"/>
  <c r="AG291" i="1" s="1"/>
  <c r="AF290" i="1"/>
  <c r="AG290" i="1" s="1"/>
  <c r="AF289" i="1"/>
  <c r="AG289" i="1" s="1"/>
  <c r="AG288" i="1"/>
  <c r="AF288" i="1"/>
  <c r="AF287" i="1"/>
  <c r="AG287" i="1" s="1"/>
  <c r="AF286" i="1"/>
  <c r="AG286" i="1" s="1"/>
  <c r="AF285" i="1"/>
  <c r="AG285" i="1" s="1"/>
  <c r="AG284" i="1"/>
  <c r="AF284" i="1"/>
  <c r="AF283" i="1"/>
  <c r="AG283" i="1" s="1"/>
  <c r="AF282" i="1"/>
  <c r="AG282" i="1" s="1"/>
  <c r="AF281" i="1"/>
  <c r="AG281" i="1" s="1"/>
  <c r="AG280" i="1"/>
  <c r="AF280" i="1"/>
  <c r="AF279" i="1"/>
  <c r="AG279" i="1" s="1"/>
  <c r="AF278" i="1"/>
  <c r="AG278" i="1" s="1"/>
  <c r="AF277" i="1"/>
  <c r="AG277" i="1" s="1"/>
  <c r="AG276" i="1"/>
  <c r="AF276" i="1"/>
  <c r="AF275" i="1"/>
  <c r="AG275" i="1" s="1"/>
  <c r="AF274" i="1"/>
  <c r="AG274" i="1" s="1"/>
  <c r="AF273" i="1"/>
  <c r="AG273" i="1" s="1"/>
  <c r="AG272" i="1"/>
  <c r="AF272" i="1"/>
  <c r="AF271" i="1"/>
  <c r="AG271" i="1" s="1"/>
  <c r="AF270" i="1"/>
  <c r="AG270" i="1" s="1"/>
  <c r="AF269" i="1"/>
  <c r="AG269" i="1" s="1"/>
  <c r="AG268" i="1"/>
  <c r="AF268" i="1"/>
  <c r="AF267" i="1"/>
  <c r="AG267" i="1" s="1"/>
  <c r="AF266" i="1"/>
  <c r="AG266" i="1" s="1"/>
  <c r="AF265" i="1"/>
  <c r="AG265" i="1" s="1"/>
  <c r="AG264" i="1"/>
  <c r="AF264" i="1"/>
  <c r="AF263" i="1"/>
  <c r="AG263" i="1" s="1"/>
  <c r="AF262" i="1"/>
  <c r="AG262" i="1" s="1"/>
  <c r="AF261" i="1"/>
  <c r="AG261" i="1" s="1"/>
  <c r="AG260" i="1"/>
  <c r="AF260" i="1"/>
  <c r="AF259" i="1"/>
  <c r="AG259" i="1" s="1"/>
  <c r="AF258" i="1"/>
  <c r="AG258" i="1" s="1"/>
  <c r="AF257" i="1"/>
  <c r="AG257" i="1" s="1"/>
  <c r="AG256" i="1"/>
  <c r="AF256" i="1"/>
  <c r="AF255" i="1"/>
  <c r="AG255" i="1" s="1"/>
  <c r="AF254" i="1"/>
  <c r="AG254" i="1" s="1"/>
  <c r="AF253" i="1"/>
  <c r="AG253" i="1" s="1"/>
  <c r="AG252" i="1"/>
  <c r="AF252" i="1"/>
  <c r="AF251" i="1"/>
  <c r="AG251" i="1" s="1"/>
  <c r="AF250" i="1"/>
  <c r="AG250" i="1" s="1"/>
  <c r="AF249" i="1"/>
  <c r="AG249" i="1" s="1"/>
  <c r="AG248" i="1"/>
  <c r="AF248" i="1"/>
  <c r="AF247" i="1"/>
  <c r="AG247" i="1" s="1"/>
  <c r="AF246" i="1"/>
  <c r="AG246" i="1" s="1"/>
  <c r="AF245" i="1"/>
  <c r="AG245" i="1" s="1"/>
  <c r="AG244" i="1"/>
  <c r="AF244" i="1"/>
  <c r="AF243" i="1"/>
  <c r="AG243" i="1" s="1"/>
  <c r="AF242" i="1"/>
  <c r="AG242" i="1" s="1"/>
  <c r="AF241" i="1"/>
  <c r="AG241" i="1" s="1"/>
  <c r="AG240" i="1"/>
  <c r="AF240" i="1"/>
  <c r="AF239" i="1"/>
  <c r="AG239" i="1" s="1"/>
  <c r="AF238" i="1"/>
  <c r="AG238" i="1" s="1"/>
  <c r="AF237" i="1"/>
  <c r="AG237" i="1" s="1"/>
  <c r="AG236" i="1"/>
  <c r="AF236" i="1"/>
  <c r="AF235" i="1"/>
  <c r="AG235" i="1" s="1"/>
  <c r="AF234" i="1"/>
  <c r="AG234" i="1" s="1"/>
  <c r="AF233" i="1"/>
  <c r="AG233" i="1" s="1"/>
  <c r="AG232" i="1"/>
  <c r="AF232" i="1"/>
  <c r="AF231" i="1"/>
  <c r="AG231" i="1" s="1"/>
  <c r="AF230" i="1"/>
  <c r="AG230" i="1" s="1"/>
  <c r="AF229" i="1"/>
  <c r="AG229" i="1" s="1"/>
  <c r="AG228" i="1"/>
  <c r="AF228" i="1"/>
  <c r="AF227" i="1"/>
  <c r="AG227" i="1" s="1"/>
  <c r="AF226" i="1"/>
  <c r="AG226" i="1" s="1"/>
  <c r="AF225" i="1"/>
  <c r="AG225" i="1" s="1"/>
  <c r="AG224" i="1"/>
  <c r="AF224" i="1"/>
  <c r="AF223" i="1"/>
  <c r="AG223" i="1" s="1"/>
  <c r="AF222" i="1"/>
  <c r="AG222" i="1" s="1"/>
  <c r="AF221" i="1"/>
  <c r="AG221" i="1" s="1"/>
  <c r="AG220" i="1"/>
  <c r="AF220" i="1"/>
  <c r="AF219" i="1"/>
  <c r="AG219" i="1" s="1"/>
  <c r="AF218" i="1"/>
  <c r="AG218" i="1" s="1"/>
  <c r="AF217" i="1"/>
  <c r="AG217" i="1" s="1"/>
  <c r="AG216" i="1"/>
  <c r="AF216" i="1"/>
  <c r="AF215" i="1"/>
  <c r="AG215" i="1" s="1"/>
  <c r="AF214" i="1"/>
  <c r="AG214" i="1" s="1"/>
  <c r="AF213" i="1"/>
  <c r="AG213" i="1" s="1"/>
  <c r="AG212" i="1"/>
  <c r="AF212" i="1"/>
  <c r="AF211" i="1"/>
  <c r="AG211" i="1" s="1"/>
  <c r="AF210" i="1"/>
  <c r="AG210" i="1" s="1"/>
  <c r="AF209" i="1"/>
  <c r="AG209" i="1" s="1"/>
  <c r="AG208" i="1"/>
  <c r="AF208" i="1"/>
  <c r="AF207" i="1"/>
  <c r="AG207" i="1" s="1"/>
  <c r="AF206" i="1"/>
  <c r="AG206" i="1" s="1"/>
  <c r="AF205" i="1"/>
  <c r="AG205" i="1" s="1"/>
  <c r="AG204" i="1"/>
  <c r="AF204" i="1"/>
  <c r="AF203" i="1"/>
  <c r="AG203" i="1" s="1"/>
  <c r="AF202" i="1"/>
  <c r="AG202" i="1" s="1"/>
  <c r="AF201" i="1"/>
  <c r="AG201" i="1" s="1"/>
  <c r="AG200" i="1"/>
  <c r="AF200" i="1"/>
  <c r="AF199" i="1"/>
  <c r="AG199" i="1" s="1"/>
  <c r="AF198" i="1"/>
  <c r="AG198" i="1" s="1"/>
  <c r="AF197" i="1"/>
  <c r="AG197" i="1" s="1"/>
  <c r="AG196" i="1"/>
  <c r="AF196" i="1"/>
  <c r="AF195" i="1"/>
  <c r="AG195" i="1" s="1"/>
  <c r="AF194" i="1"/>
  <c r="AG194" i="1" s="1"/>
  <c r="AF193" i="1"/>
  <c r="AG193" i="1" s="1"/>
  <c r="AG192" i="1"/>
  <c r="AF192" i="1"/>
  <c r="AF191" i="1"/>
  <c r="AG191" i="1" s="1"/>
  <c r="AF190" i="1"/>
  <c r="AG190" i="1" s="1"/>
  <c r="AF189" i="1"/>
  <c r="AG189" i="1" s="1"/>
  <c r="AF188" i="1"/>
  <c r="AG188" i="1" s="1"/>
  <c r="AF187" i="1"/>
  <c r="AG187" i="1" s="1"/>
  <c r="AF186" i="1"/>
  <c r="AG186" i="1" s="1"/>
  <c r="AF185" i="1"/>
  <c r="AG185" i="1" s="1"/>
  <c r="AF184" i="1"/>
  <c r="AG184" i="1" s="1"/>
  <c r="AF183" i="1"/>
  <c r="AG183" i="1" s="1"/>
  <c r="AF182" i="1"/>
  <c r="AG182" i="1" s="1"/>
  <c r="AF181" i="1"/>
  <c r="AG181" i="1" s="1"/>
  <c r="AG180" i="1"/>
  <c r="AF180" i="1"/>
  <c r="AF179" i="1"/>
  <c r="AG179" i="1" s="1"/>
  <c r="AF178" i="1"/>
  <c r="AG178" i="1" s="1"/>
  <c r="AF177" i="1"/>
  <c r="AG177" i="1" s="1"/>
  <c r="AG176" i="1"/>
  <c r="AF176" i="1"/>
  <c r="AF175" i="1"/>
  <c r="AG175" i="1" s="1"/>
  <c r="AF174" i="1"/>
  <c r="AG174" i="1" s="1"/>
  <c r="AF173" i="1"/>
  <c r="AG173" i="1" s="1"/>
  <c r="AF172" i="1"/>
  <c r="AG172" i="1" s="1"/>
  <c r="AF171" i="1"/>
  <c r="AG171" i="1" s="1"/>
  <c r="AF170" i="1"/>
  <c r="AG170" i="1" s="1"/>
  <c r="AF169" i="1"/>
  <c r="AG169" i="1" s="1"/>
  <c r="AF168" i="1"/>
  <c r="AG168" i="1" s="1"/>
  <c r="AF167" i="1"/>
  <c r="AG167" i="1" s="1"/>
  <c r="AF166" i="1"/>
  <c r="AG166" i="1" s="1"/>
  <c r="AF165" i="1"/>
  <c r="AG165" i="1" s="1"/>
  <c r="AF164" i="1"/>
  <c r="AG164" i="1" s="1"/>
  <c r="AF163" i="1"/>
  <c r="AG163" i="1" s="1"/>
  <c r="AF162" i="1"/>
  <c r="AG162" i="1" s="1"/>
  <c r="AF161" i="1"/>
  <c r="AG161" i="1" s="1"/>
  <c r="AG160" i="1"/>
  <c r="AF160" i="1"/>
  <c r="AF159" i="1"/>
  <c r="AG159" i="1" s="1"/>
  <c r="AF158" i="1"/>
  <c r="AG158" i="1" s="1"/>
  <c r="AF157" i="1"/>
  <c r="AG157" i="1" s="1"/>
  <c r="AF156" i="1"/>
  <c r="AG156" i="1" s="1"/>
  <c r="AF155" i="1"/>
  <c r="AG155" i="1" s="1"/>
  <c r="AF154" i="1"/>
  <c r="AG154" i="1" s="1"/>
  <c r="AF153" i="1"/>
  <c r="AG153" i="1" s="1"/>
  <c r="AF152" i="1"/>
  <c r="AG152" i="1" s="1"/>
  <c r="AF151" i="1"/>
  <c r="AG151" i="1" s="1"/>
  <c r="AF150" i="1"/>
  <c r="AG150" i="1" s="1"/>
  <c r="AF149" i="1"/>
  <c r="AG149" i="1" s="1"/>
  <c r="AG148" i="1"/>
  <c r="AF148" i="1"/>
  <c r="AF147" i="1"/>
  <c r="AG147" i="1" s="1"/>
  <c r="AF146" i="1"/>
  <c r="AG146" i="1" s="1"/>
  <c r="AF145" i="1"/>
  <c r="AG145" i="1" s="1"/>
  <c r="AG144" i="1"/>
  <c r="AF144" i="1"/>
  <c r="AF143" i="1"/>
  <c r="AG143" i="1" s="1"/>
  <c r="AF142" i="1"/>
  <c r="AG142" i="1" s="1"/>
  <c r="AF141" i="1"/>
  <c r="AG141" i="1" s="1"/>
  <c r="AF140" i="1"/>
  <c r="AG140" i="1" s="1"/>
  <c r="AF139" i="1"/>
  <c r="AG139" i="1" s="1"/>
  <c r="AF138" i="1"/>
  <c r="AG138" i="1" s="1"/>
  <c r="AF137" i="1"/>
  <c r="AG137" i="1" s="1"/>
  <c r="AF136" i="1"/>
  <c r="AG136" i="1" s="1"/>
  <c r="AF135" i="1"/>
  <c r="AG135" i="1" s="1"/>
  <c r="AF134" i="1"/>
  <c r="AG134" i="1" s="1"/>
  <c r="AF133" i="1"/>
  <c r="AG133" i="1" s="1"/>
  <c r="AF132" i="1"/>
  <c r="AG132" i="1" s="1"/>
  <c r="AF131" i="1"/>
  <c r="AG131" i="1" s="1"/>
  <c r="AF130" i="1"/>
  <c r="AG130" i="1" s="1"/>
  <c r="AF129" i="1"/>
  <c r="AG129" i="1" s="1"/>
  <c r="AG128" i="1"/>
  <c r="AF128" i="1"/>
  <c r="AF127" i="1"/>
  <c r="AG127" i="1" s="1"/>
  <c r="AF126" i="1"/>
  <c r="AG126" i="1" s="1"/>
  <c r="AF125" i="1"/>
  <c r="AG125" i="1" s="1"/>
  <c r="AF124" i="1"/>
  <c r="AG124" i="1" s="1"/>
  <c r="AF123" i="1"/>
  <c r="AG123" i="1" s="1"/>
  <c r="AF122" i="1"/>
  <c r="AG122" i="1" s="1"/>
  <c r="AF121" i="1"/>
  <c r="AG121" i="1" s="1"/>
  <c r="AF120" i="1"/>
  <c r="AG120" i="1" s="1"/>
  <c r="AF119" i="1"/>
  <c r="AG119" i="1" s="1"/>
  <c r="AF118" i="1"/>
  <c r="AG118" i="1" s="1"/>
  <c r="AF117" i="1"/>
  <c r="AG117" i="1" s="1"/>
  <c r="AG116" i="1"/>
  <c r="AF116" i="1"/>
  <c r="AF115" i="1"/>
  <c r="AG115" i="1" s="1"/>
  <c r="AF114" i="1"/>
  <c r="AG114" i="1" s="1"/>
  <c r="AF113" i="1"/>
  <c r="AG113" i="1" s="1"/>
  <c r="AG112" i="1"/>
  <c r="AF112" i="1"/>
  <c r="AF111" i="1"/>
  <c r="AG111" i="1" s="1"/>
  <c r="AF110" i="1"/>
  <c r="AG110" i="1" s="1"/>
  <c r="AF109" i="1"/>
  <c r="AG109" i="1" s="1"/>
  <c r="AF108" i="1"/>
  <c r="AG108" i="1" s="1"/>
  <c r="AF107" i="1"/>
  <c r="AG107" i="1" s="1"/>
  <c r="AF106" i="1"/>
  <c r="AG106" i="1" s="1"/>
  <c r="AF105" i="1"/>
  <c r="AG105" i="1" s="1"/>
  <c r="AF104" i="1"/>
  <c r="AG104" i="1" s="1"/>
  <c r="AF103" i="1"/>
  <c r="AG103" i="1" s="1"/>
  <c r="AF102" i="1"/>
  <c r="AG102" i="1" s="1"/>
  <c r="AF101" i="1"/>
  <c r="AG101" i="1" s="1"/>
  <c r="AF100" i="1"/>
  <c r="AG100" i="1" s="1"/>
  <c r="AF99" i="1"/>
  <c r="AG99" i="1" s="1"/>
  <c r="AF98" i="1"/>
  <c r="AG98" i="1" s="1"/>
  <c r="AF97" i="1"/>
  <c r="AG97" i="1" s="1"/>
  <c r="AG96" i="1"/>
  <c r="AF96" i="1"/>
  <c r="AF95" i="1"/>
  <c r="AG95" i="1" s="1"/>
  <c r="AF94" i="1"/>
  <c r="AG94" i="1" s="1"/>
  <c r="AF93" i="1"/>
  <c r="AG93" i="1" s="1"/>
  <c r="AF92" i="1"/>
  <c r="AG92" i="1" s="1"/>
  <c r="AF91" i="1"/>
  <c r="AG91" i="1" s="1"/>
  <c r="AF90" i="1"/>
  <c r="AG90" i="1" s="1"/>
  <c r="AF89" i="1"/>
  <c r="AG89" i="1" s="1"/>
  <c r="AF88" i="1"/>
  <c r="AG88" i="1" s="1"/>
  <c r="AF87" i="1"/>
  <c r="AG87" i="1" s="1"/>
  <c r="AF86" i="1"/>
  <c r="AG86" i="1" s="1"/>
  <c r="AF85" i="1"/>
  <c r="AG85" i="1" s="1"/>
  <c r="AG84" i="1"/>
  <c r="AF84" i="1"/>
  <c r="AF83" i="1"/>
  <c r="AG83" i="1" s="1"/>
  <c r="AF82" i="1"/>
  <c r="AG82" i="1" s="1"/>
  <c r="AF81" i="1"/>
  <c r="AG81" i="1" s="1"/>
  <c r="AG80" i="1"/>
  <c r="AF80" i="1"/>
  <c r="AF79" i="1"/>
  <c r="AG79" i="1" s="1"/>
  <c r="AF78" i="1"/>
  <c r="AG78" i="1" s="1"/>
  <c r="AF77" i="1"/>
  <c r="AG77" i="1" s="1"/>
  <c r="AF76" i="1"/>
  <c r="AG76" i="1" s="1"/>
  <c r="AF75" i="1"/>
  <c r="AG75" i="1" s="1"/>
  <c r="AF74" i="1"/>
  <c r="AG74" i="1" s="1"/>
  <c r="AF73" i="1"/>
  <c r="AG73" i="1" s="1"/>
  <c r="AF72" i="1"/>
  <c r="AG72" i="1" s="1"/>
  <c r="AF71" i="1"/>
  <c r="AG71" i="1" s="1"/>
  <c r="AF70" i="1"/>
  <c r="AG70" i="1" s="1"/>
  <c r="AF69" i="1"/>
  <c r="AG69" i="1" s="1"/>
  <c r="AF68" i="1"/>
  <c r="AG68" i="1" s="1"/>
  <c r="AF67" i="1"/>
  <c r="AG67" i="1" s="1"/>
  <c r="AF66" i="1"/>
  <c r="AG66" i="1" s="1"/>
  <c r="AF65" i="1"/>
  <c r="AG65" i="1" s="1"/>
  <c r="AG64" i="1"/>
  <c r="AF64" i="1"/>
  <c r="AF63" i="1"/>
  <c r="AG63" i="1" s="1"/>
  <c r="AF62" i="1"/>
  <c r="AG62" i="1" s="1"/>
  <c r="AF61" i="1"/>
  <c r="AG61" i="1" s="1"/>
  <c r="AF60" i="1"/>
  <c r="AG60" i="1" s="1"/>
  <c r="AF59" i="1"/>
  <c r="AG59" i="1" s="1"/>
  <c r="AF58" i="1"/>
  <c r="AG58" i="1" s="1"/>
  <c r="AF57" i="1"/>
  <c r="AG57" i="1" s="1"/>
  <c r="AF56" i="1"/>
  <c r="AG56" i="1" s="1"/>
  <c r="AF55" i="1"/>
  <c r="AG55" i="1" s="1"/>
  <c r="AF54" i="1"/>
  <c r="AG54" i="1" s="1"/>
  <c r="AF53" i="1"/>
  <c r="AG53" i="1" s="1"/>
  <c r="AF52" i="1"/>
  <c r="AG52" i="1" s="1"/>
  <c r="AF51" i="1"/>
  <c r="AG51" i="1" s="1"/>
  <c r="AF50" i="1"/>
  <c r="AG50" i="1" s="1"/>
  <c r="AF49" i="1"/>
  <c r="AG49" i="1" s="1"/>
  <c r="AG48" i="1"/>
  <c r="AF48" i="1"/>
  <c r="AF47" i="1"/>
  <c r="AG47" i="1" s="1"/>
  <c r="AF46" i="1"/>
  <c r="AG46" i="1" s="1"/>
  <c r="AF45" i="1"/>
  <c r="AG45" i="1" s="1"/>
  <c r="AF44" i="1"/>
  <c r="AG44" i="1" s="1"/>
  <c r="AF43" i="1"/>
  <c r="AG43" i="1" s="1"/>
  <c r="AF42" i="1"/>
  <c r="AG42" i="1" s="1"/>
  <c r="AF41" i="1"/>
  <c r="AG41" i="1" s="1"/>
  <c r="AF40" i="1"/>
  <c r="AG40" i="1" s="1"/>
  <c r="AF39" i="1"/>
  <c r="AG39" i="1" s="1"/>
  <c r="AF38" i="1"/>
  <c r="AG38" i="1" s="1"/>
  <c r="AF37" i="1"/>
  <c r="AG37" i="1" s="1"/>
  <c r="AF36" i="1"/>
  <c r="AG36" i="1" s="1"/>
  <c r="AF35" i="1"/>
  <c r="AG35" i="1" s="1"/>
  <c r="AF34" i="1"/>
  <c r="AG34" i="1" s="1"/>
  <c r="AF33" i="1"/>
  <c r="AG33" i="1" s="1"/>
  <c r="AG32" i="1"/>
  <c r="AF32" i="1"/>
  <c r="AF31" i="1"/>
  <c r="AG31" i="1" s="1"/>
  <c r="AF30" i="1"/>
  <c r="AG30" i="1" s="1"/>
  <c r="AF29" i="1"/>
  <c r="AG29" i="1" s="1"/>
  <c r="AF28" i="1"/>
  <c r="AG28" i="1" s="1"/>
  <c r="AF27" i="1"/>
  <c r="AG27" i="1" s="1"/>
  <c r="AF26" i="1"/>
  <c r="AG26" i="1" s="1"/>
  <c r="AF25" i="1"/>
  <c r="AG25" i="1" s="1"/>
  <c r="AF24" i="1"/>
  <c r="AG24" i="1" s="1"/>
  <c r="AF23" i="1"/>
  <c r="AG23" i="1" s="1"/>
  <c r="AF22" i="1"/>
  <c r="AG22" i="1" s="1"/>
  <c r="AF21" i="1"/>
  <c r="AG21" i="1" s="1"/>
  <c r="AF20" i="1"/>
  <c r="AG20" i="1" s="1"/>
  <c r="AF19" i="1"/>
  <c r="AG19" i="1" s="1"/>
  <c r="AF18" i="1"/>
  <c r="AG18" i="1" s="1"/>
  <c r="AF17" i="1"/>
  <c r="AG17" i="1" s="1"/>
  <c r="AG16" i="1"/>
  <c r="AF16" i="1"/>
  <c r="AF15" i="1"/>
  <c r="AG15" i="1" s="1"/>
  <c r="AF14" i="1"/>
  <c r="AG14" i="1" s="1"/>
  <c r="AF13" i="1"/>
  <c r="AG13" i="1" s="1"/>
  <c r="AF12" i="1"/>
  <c r="AG12" i="1" s="1"/>
  <c r="AF11" i="1"/>
  <c r="AG11" i="1" s="1"/>
  <c r="AF10" i="1"/>
  <c r="AG10" i="1" s="1"/>
  <c r="AF9" i="1"/>
  <c r="AG9" i="1" s="1"/>
  <c r="AF8" i="1"/>
  <c r="AG8" i="1" s="1"/>
  <c r="AF7" i="1"/>
  <c r="AG7" i="1" s="1"/>
  <c r="AF6" i="1"/>
  <c r="AG6" i="1" s="1"/>
  <c r="AG5" i="1"/>
  <c r="AF5" i="1"/>
  <c r="AF4" i="1"/>
  <c r="AG4" i="1" s="1"/>
  <c r="AG3" i="1"/>
  <c r="AF3" i="1"/>
  <c r="AF2" i="1"/>
  <c r="AG2" i="1" s="1"/>
  <c r="Q6" i="4" l="1"/>
  <c r="P7" i="4"/>
  <c r="Q3" i="4"/>
  <c r="P4" i="4"/>
  <c r="Q4" i="4" s="1"/>
  <c r="F7" i="4"/>
  <c r="F8" i="4" s="1"/>
  <c r="F9" i="4" s="1"/>
  <c r="F10" i="4" s="1"/>
  <c r="F11" i="4" s="1"/>
  <c r="P8" i="4" l="1"/>
  <c r="Q7" i="4"/>
  <c r="Q8" i="4" l="1"/>
  <c r="P9" i="4"/>
  <c r="P10" i="4" l="1"/>
  <c r="Q9" i="4"/>
  <c r="P11" i="4" l="1"/>
  <c r="Q10" i="4"/>
  <c r="Q11" i="4" l="1"/>
  <c r="P12" i="4"/>
  <c r="P13" i="4" l="1"/>
  <c r="Q12" i="4"/>
  <c r="P14" i="4" l="1"/>
  <c r="Q13" i="4"/>
  <c r="Q14" i="4" l="1"/>
  <c r="P15" i="4"/>
  <c r="Q15" i="4" l="1"/>
  <c r="P16" i="4"/>
  <c r="P17" i="4" l="1"/>
  <c r="Q16" i="4"/>
  <c r="Q17" i="4" l="1"/>
  <c r="P18" i="4"/>
  <c r="P19" i="4" l="1"/>
  <c r="Q18" i="4"/>
  <c r="P20" i="4" l="1"/>
  <c r="Q19" i="4"/>
  <c r="Q20" i="4" l="1"/>
  <c r="P21" i="4"/>
  <c r="Q21" i="4" l="1"/>
  <c r="P22" i="4"/>
  <c r="P23" i="4" l="1"/>
  <c r="Q22" i="4"/>
  <c r="Q23" i="4" l="1"/>
  <c r="P24" i="4"/>
  <c r="Q24" i="4" l="1"/>
  <c r="P25" i="4"/>
  <c r="P26" i="4" l="1"/>
  <c r="Q25" i="4"/>
  <c r="Q26" i="4" l="1"/>
  <c r="P27" i="4"/>
  <c r="Q27" i="4" l="1"/>
  <c r="P28" i="4"/>
  <c r="P29" i="4" l="1"/>
  <c r="Q28" i="4"/>
  <c r="Q29" i="4" l="1"/>
  <c r="P30" i="4"/>
  <c r="Q30" i="4" l="1"/>
  <c r="P31" i="4"/>
  <c r="P32" i="4" l="1"/>
  <c r="Q31" i="4"/>
  <c r="Q32" i="4" l="1"/>
  <c r="P33" i="4"/>
  <c r="P34" i="4" l="1"/>
  <c r="Q33" i="4"/>
  <c r="P35" i="4" l="1"/>
  <c r="Q34" i="4"/>
  <c r="Q35" i="4" l="1"/>
  <c r="P36" i="4"/>
  <c r="P37" i="4" l="1"/>
  <c r="Q36" i="4"/>
  <c r="P38" i="4" l="1"/>
  <c r="Q37" i="4"/>
  <c r="Q38" i="4" l="1"/>
  <c r="P39" i="4"/>
  <c r="P40" i="4" l="1"/>
  <c r="Q39" i="4"/>
  <c r="P41" i="4" l="1"/>
  <c r="Q40" i="4"/>
  <c r="Q41" i="4" l="1"/>
  <c r="P42" i="4"/>
  <c r="P43" i="4" l="1"/>
  <c r="Q42" i="4"/>
  <c r="P44" i="4" l="1"/>
  <c r="Q43" i="4"/>
  <c r="Q44" i="4" l="1"/>
  <c r="P45" i="4"/>
  <c r="P46" i="4" l="1"/>
  <c r="Q45" i="4"/>
  <c r="P47" i="4" l="1"/>
  <c r="Q46" i="4"/>
  <c r="Q47" i="4" l="1"/>
  <c r="P48" i="4"/>
  <c r="Q48" i="4" l="1"/>
  <c r="P49" i="4"/>
  <c r="P50" i="4" l="1"/>
  <c r="Q49" i="4"/>
  <c r="Q50" i="4" l="1"/>
  <c r="P51" i="4"/>
  <c r="P52" i="4" l="1"/>
  <c r="Q51" i="4"/>
  <c r="P53" i="4" l="1"/>
  <c r="Q52" i="4"/>
  <c r="Q53" i="4" l="1"/>
  <c r="P54" i="4"/>
  <c r="Q54" i="4" l="1"/>
  <c r="P55" i="4"/>
  <c r="P56" i="4" l="1"/>
  <c r="Q55" i="4"/>
  <c r="Q56" i="4" l="1"/>
  <c r="P57" i="4"/>
  <c r="Q57" i="4" l="1"/>
  <c r="P58" i="4"/>
  <c r="P59" i="4" l="1"/>
  <c r="Q58" i="4"/>
  <c r="Q59" i="4" l="1"/>
  <c r="P60" i="4"/>
  <c r="P61" i="4" l="1"/>
  <c r="Q60" i="4"/>
  <c r="P62" i="4" l="1"/>
  <c r="Q61" i="4"/>
  <c r="Q62" i="4" l="1"/>
  <c r="P63" i="4"/>
  <c r="P64" i="4" l="1"/>
  <c r="Q63" i="4"/>
  <c r="P65" i="4" l="1"/>
  <c r="Q64" i="4"/>
  <c r="Q65" i="4" l="1"/>
  <c r="P66" i="4"/>
  <c r="P67" i="4" l="1"/>
  <c r="Q66" i="4"/>
  <c r="P68" i="4" l="1"/>
  <c r="Q67" i="4"/>
  <c r="Q68" i="4" l="1"/>
  <c r="P69" i="4"/>
  <c r="P70" i="4" l="1"/>
  <c r="Q69" i="4"/>
  <c r="P71" i="4" l="1"/>
  <c r="Q70" i="4"/>
  <c r="Q71" i="4" l="1"/>
  <c r="P72" i="4"/>
  <c r="P73" i="4" l="1"/>
  <c r="Q72" i="4"/>
  <c r="P74" i="4" l="1"/>
  <c r="Q73" i="4"/>
  <c r="Q74" i="4" l="1"/>
  <c r="P75" i="4"/>
  <c r="P76" i="4" l="1"/>
  <c r="Q75" i="4"/>
  <c r="P77" i="4" l="1"/>
  <c r="Q76" i="4"/>
  <c r="Q77" i="4" l="1"/>
  <c r="P78" i="4"/>
  <c r="P79" i="4" l="1"/>
  <c r="Q78" i="4"/>
  <c r="P80" i="4" l="1"/>
  <c r="Q79" i="4"/>
  <c r="Q80" i="4" l="1"/>
  <c r="P81" i="4"/>
  <c r="Q81" i="4" l="1"/>
  <c r="P82" i="4"/>
  <c r="P83" i="4" l="1"/>
  <c r="Q82" i="4"/>
  <c r="Q83" i="4" l="1"/>
  <c r="P84" i="4"/>
  <c r="Q84" i="4" l="1"/>
  <c r="P85" i="4"/>
  <c r="P86" i="4" l="1"/>
  <c r="Q85" i="4"/>
  <c r="Q86" i="4" l="1"/>
  <c r="P87" i="4"/>
  <c r="Q87" i="4" l="1"/>
  <c r="P88" i="4"/>
  <c r="P89" i="4" l="1"/>
  <c r="Q88" i="4"/>
  <c r="Q89" i="4" l="1"/>
  <c r="P90" i="4"/>
  <c r="Q90" i="4" l="1"/>
  <c r="P91" i="4"/>
  <c r="P92" i="4" l="1"/>
  <c r="Q91" i="4"/>
  <c r="Q92" i="4" l="1"/>
  <c r="P93" i="4"/>
  <c r="Q93" i="4" l="1"/>
  <c r="P94" i="4"/>
  <c r="P95" i="4" l="1"/>
  <c r="Q94" i="4"/>
  <c r="Q95" i="4" l="1"/>
  <c r="P96" i="4"/>
  <c r="Q96" i="4" l="1"/>
  <c r="P97" i="4"/>
  <c r="P98" i="4" l="1"/>
  <c r="Q97" i="4"/>
  <c r="Q98" i="4" l="1"/>
  <c r="P99" i="4"/>
  <c r="Q99" i="4" l="1"/>
  <c r="P100" i="4"/>
  <c r="P101" i="4" l="1"/>
  <c r="Q100" i="4"/>
  <c r="Q101" i="4" l="1"/>
  <c r="P102" i="4"/>
  <c r="Q102" i="4" l="1"/>
  <c r="P103" i="4"/>
  <c r="P104" i="4" l="1"/>
  <c r="Q103" i="4"/>
  <c r="Q104" i="4" l="1"/>
  <c r="P105" i="4"/>
  <c r="Q105" i="4" l="1"/>
  <c r="P106" i="4"/>
  <c r="P107" i="4" l="1"/>
  <c r="Q106" i="4"/>
  <c r="Q107" i="4" l="1"/>
  <c r="P108" i="4"/>
  <c r="Q108" i="4" l="1"/>
  <c r="P109" i="4"/>
  <c r="P110" i="4" l="1"/>
  <c r="Q109" i="4"/>
  <c r="Q110" i="4" l="1"/>
  <c r="P111" i="4"/>
  <c r="Q111" i="4" l="1"/>
  <c r="P112" i="4"/>
  <c r="P113" i="4" l="1"/>
  <c r="Q112" i="4"/>
  <c r="Q113" i="4" l="1"/>
  <c r="P114" i="4"/>
  <c r="Q114" i="4" l="1"/>
  <c r="P115" i="4"/>
  <c r="P116" i="4" l="1"/>
  <c r="Q115" i="4"/>
  <c r="Q116" i="4" l="1"/>
  <c r="P117" i="4"/>
  <c r="Q117" i="4" l="1"/>
  <c r="P118" i="4"/>
  <c r="P119" i="4" l="1"/>
  <c r="Q118" i="4"/>
  <c r="Q119" i="4" l="1"/>
  <c r="P120" i="4"/>
  <c r="Q120" i="4" l="1"/>
  <c r="P121" i="4"/>
  <c r="P122" i="4" l="1"/>
  <c r="Q121" i="4"/>
  <c r="Q122" i="4" l="1"/>
  <c r="P123" i="4"/>
  <c r="Q123" i="4" l="1"/>
  <c r="P124" i="4"/>
  <c r="P125" i="4" l="1"/>
  <c r="Q124" i="4"/>
  <c r="Q125" i="4" l="1"/>
  <c r="P126" i="4"/>
  <c r="Q126" i="4" l="1"/>
  <c r="P127" i="4"/>
  <c r="P128" i="4" l="1"/>
  <c r="Q127" i="4"/>
  <c r="Q128" i="4" l="1"/>
  <c r="P129" i="4"/>
  <c r="Q129" i="4" l="1"/>
  <c r="P130" i="4"/>
  <c r="P131" i="4" l="1"/>
  <c r="Q130" i="4"/>
  <c r="Q131" i="4" l="1"/>
  <c r="P132" i="4"/>
  <c r="Q132" i="4" l="1"/>
  <c r="P133" i="4"/>
  <c r="P134" i="4" l="1"/>
  <c r="Q133" i="4"/>
  <c r="Q134" i="4" l="1"/>
  <c r="P135" i="4"/>
  <c r="Q135" i="4" l="1"/>
  <c r="P136" i="4"/>
  <c r="P137" i="4" l="1"/>
  <c r="Q136" i="4"/>
  <c r="Q137" i="4" l="1"/>
  <c r="P138" i="4"/>
  <c r="Q138" i="4" l="1"/>
  <c r="P139" i="4"/>
  <c r="P140" i="4" l="1"/>
  <c r="Q139" i="4"/>
  <c r="Q140" i="4" l="1"/>
  <c r="P141" i="4"/>
  <c r="Q141" i="4" l="1"/>
  <c r="P142" i="4"/>
  <c r="P143" i="4" l="1"/>
  <c r="Q142" i="4"/>
  <c r="Q143" i="4" l="1"/>
  <c r="P144" i="4"/>
  <c r="Q144" i="4" l="1"/>
  <c r="P145" i="4"/>
  <c r="P146" i="4" l="1"/>
  <c r="Q145" i="4"/>
  <c r="Q146" i="4" l="1"/>
  <c r="P147" i="4"/>
  <c r="Q147" i="4" l="1"/>
  <c r="P148" i="4"/>
  <c r="P149" i="4" l="1"/>
  <c r="Q148" i="4"/>
  <c r="Q149" i="4" l="1"/>
  <c r="P150" i="4"/>
  <c r="Q150" i="4" l="1"/>
  <c r="P151" i="4"/>
  <c r="P152" i="4" l="1"/>
  <c r="Q151" i="4"/>
  <c r="Q152" i="4" l="1"/>
  <c r="P153" i="4"/>
  <c r="Q153" i="4" l="1"/>
  <c r="P154" i="4"/>
  <c r="P155" i="4" l="1"/>
  <c r="Q154" i="4"/>
  <c r="Q155" i="4" l="1"/>
  <c r="P156" i="4"/>
  <c r="Q156" i="4" l="1"/>
  <c r="P157" i="4"/>
  <c r="P158" i="4" l="1"/>
  <c r="Q157" i="4"/>
  <c r="Q158" i="4" l="1"/>
  <c r="P159" i="4"/>
  <c r="Q159" i="4" l="1"/>
  <c r="P160" i="4"/>
  <c r="P161" i="4" l="1"/>
  <c r="Q160" i="4"/>
  <c r="Q161" i="4" l="1"/>
  <c r="P162" i="4"/>
  <c r="Q162" i="4" l="1"/>
  <c r="P163" i="4"/>
  <c r="P164" i="4" l="1"/>
  <c r="Q163" i="4"/>
  <c r="Q164" i="4" l="1"/>
  <c r="P165" i="4"/>
  <c r="Q165" i="4" l="1"/>
  <c r="P166" i="4"/>
  <c r="P167" i="4" l="1"/>
  <c r="Q166" i="4"/>
  <c r="Q167" i="4" l="1"/>
  <c r="P168" i="4"/>
  <c r="Q168" i="4" l="1"/>
  <c r="P169" i="4"/>
  <c r="P170" i="4" l="1"/>
  <c r="Q169" i="4"/>
  <c r="Q170" i="4" l="1"/>
  <c r="P171" i="4"/>
  <c r="Q171" i="4" l="1"/>
  <c r="P172" i="4"/>
  <c r="P173" i="4" l="1"/>
  <c r="Q172" i="4"/>
  <c r="Q173" i="4" l="1"/>
  <c r="P174" i="4"/>
  <c r="Q174" i="4" l="1"/>
  <c r="P175" i="4"/>
  <c r="P176" i="4" l="1"/>
  <c r="Q175" i="4"/>
  <c r="Q176" i="4" l="1"/>
  <c r="P177" i="4"/>
  <c r="Q177" i="4" l="1"/>
  <c r="P178" i="4"/>
  <c r="P179" i="4" l="1"/>
  <c r="Q178" i="4"/>
  <c r="Q179" i="4" l="1"/>
  <c r="P180" i="4"/>
  <c r="Q180" i="4" l="1"/>
  <c r="P181" i="4"/>
  <c r="P182" i="4" l="1"/>
  <c r="Q181" i="4"/>
  <c r="Q182" i="4" l="1"/>
  <c r="P183" i="4"/>
  <c r="Q183" i="4" l="1"/>
  <c r="P184" i="4"/>
  <c r="P185" i="4" l="1"/>
  <c r="Q184" i="4"/>
  <c r="Q185" i="4" l="1"/>
  <c r="P186" i="4"/>
  <c r="Q186" i="4" l="1"/>
  <c r="P187" i="4"/>
  <c r="P188" i="4" l="1"/>
  <c r="Q187" i="4"/>
  <c r="Q188" i="4" l="1"/>
  <c r="P189" i="4"/>
  <c r="Q189" i="4" l="1"/>
  <c r="P190" i="4"/>
  <c r="P191" i="4" l="1"/>
  <c r="Q190" i="4"/>
  <c r="Q191" i="4" l="1"/>
  <c r="P192" i="4"/>
  <c r="Q192" i="4" l="1"/>
  <c r="P193" i="4"/>
  <c r="P194" i="4" l="1"/>
  <c r="Q193" i="4"/>
  <c r="Q194" i="4" l="1"/>
  <c r="P195" i="4"/>
  <c r="Q195" i="4" l="1"/>
  <c r="P196" i="4"/>
  <c r="P197" i="4" l="1"/>
  <c r="Q197" i="4" s="1"/>
  <c r="Q1" i="4" s="1"/>
  <c r="Q196" i="4"/>
</calcChain>
</file>

<file path=xl/sharedStrings.xml><?xml version="1.0" encoding="utf-8"?>
<sst xmlns="http://schemas.openxmlformats.org/spreadsheetml/2006/main" count="830" uniqueCount="382">
  <si>
    <t>R_EX_glc__D_e_i</t>
  </si>
  <si>
    <t>R_EX_xyl__D_e_i</t>
  </si>
  <si>
    <t>R_EX_succ_e_i</t>
  </si>
  <si>
    <t>R_EX_ala__L_e_i</t>
  </si>
  <si>
    <t>R_EX_arg__L_e_i</t>
  </si>
  <si>
    <t>R_EX_asn__L_e_i</t>
  </si>
  <si>
    <t>R_EX_asp__L_e_i</t>
  </si>
  <si>
    <t>R_EX_cys__L_e_i</t>
  </si>
  <si>
    <t>R_EX_glu__L_e_i</t>
  </si>
  <si>
    <t>R_EX_gln__L_e_i</t>
  </si>
  <si>
    <t>R_EX_gly_e_i</t>
  </si>
  <si>
    <t>R_EX_his__L_e_i</t>
  </si>
  <si>
    <t>R_EX_ile__L_e_i</t>
  </si>
  <si>
    <t>R_EX_leu__L_e_i</t>
  </si>
  <si>
    <t>R_EX_lys__L_e_i</t>
  </si>
  <si>
    <t>R_EX_met__L_e_i</t>
  </si>
  <si>
    <t>R_EX_phe__L_e_i</t>
  </si>
  <si>
    <t>R_EX_pro__L_e_i</t>
  </si>
  <si>
    <t>R_EX_ser__L_e_i</t>
  </si>
  <si>
    <t>R_EX_thr__L_e_i</t>
  </si>
  <si>
    <t>R_EX_trp__L_e_i</t>
  </si>
  <si>
    <t>R_EX_tyr__L_e_i</t>
  </si>
  <si>
    <t>R_EX_val__L_e_i</t>
  </si>
  <si>
    <t>R_EX_ade_e_i</t>
  </si>
  <si>
    <t>R_EX_gua_e_i</t>
  </si>
  <si>
    <t>R_EX_csn_e_i</t>
  </si>
  <si>
    <t>R_EX_ura_e_i</t>
  </si>
  <si>
    <t>R_EX_thymd_e_i</t>
  </si>
  <si>
    <t>GR_AVG</t>
  </si>
  <si>
    <t>GR_STD</t>
  </si>
  <si>
    <t>Stdev (%)</t>
  </si>
  <si>
    <t>&lt;15%</t>
  </si>
  <si>
    <t>Observations</t>
  </si>
  <si>
    <t>Doublon</t>
  </si>
  <si>
    <t>Where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</si>
  <si>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</si>
  <si>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</si>
  <si>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</si>
  <si>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</si>
  <si>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</si>
  <si>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</si>
  <si>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</si>
  <si>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</si>
  <si>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</si>
  <si>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</si>
  <si>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</si>
  <si>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</si>
  <si>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</si>
  <si>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</si>
  <si>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</si>
  <si>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</si>
  <si>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</si>
  <si>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</si>
  <si>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</si>
  <si>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</si>
  <si>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</si>
  <si>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</si>
  <si>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</si>
  <si>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</si>
  <si>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</si>
  <si>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</si>
  <si>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</si>
  <si>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</si>
  <si>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</si>
  <si>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</si>
  <si>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</si>
  <si>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</si>
  <si>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</si>
  <si>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</si>
  <si>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</si>
  <si>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</si>
  <si>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</si>
  <si>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</si>
  <si>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</si>
  <si>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</si>
  <si>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</si>
  <si>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</si>
  <si>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</si>
  <si>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</si>
  <si>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</si>
  <si>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</si>
  <si>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</si>
  <si>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</si>
  <si>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</si>
  <si>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</si>
  <si>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Duplicat</t>
  </si>
  <si>
    <t>[0]</t>
  </si>
  <si>
    <t>[1]</t>
  </si>
  <si>
    <t>[2]</t>
  </si>
  <si>
    <t>[3, 98]</t>
  </si>
  <si>
    <t>[4]</t>
  </si>
  <si>
    <t>[5, 41]</t>
  </si>
  <si>
    <t>[6]</t>
  </si>
  <si>
    <t>[7, 50, 100]</t>
  </si>
  <si>
    <t>[8, 30]</t>
  </si>
  <si>
    <t>[9, 25, 46, 62]</t>
  </si>
  <si>
    <t>[10]</t>
  </si>
  <si>
    <t>[11]</t>
  </si>
  <si>
    <t>[12, 99]</t>
  </si>
  <si>
    <t>[13]</t>
  </si>
  <si>
    <t>[14]</t>
  </si>
  <si>
    <t>[15, 79]</t>
  </si>
  <si>
    <t>[16, 65]</t>
  </si>
  <si>
    <t>[17, 69]</t>
  </si>
  <si>
    <t>[18]</t>
  </si>
  <si>
    <t>[19, 64]</t>
  </si>
  <si>
    <t>[20]</t>
  </si>
  <si>
    <t>[21]</t>
  </si>
  <si>
    <t>[22, 32]</t>
  </si>
  <si>
    <t>[23]</t>
  </si>
  <si>
    <t>[24]</t>
  </si>
  <si>
    <t>[26, 51]</t>
  </si>
  <si>
    <t>[27, 57]</t>
  </si>
  <si>
    <t>[28, 45, 52, 61]</t>
  </si>
  <si>
    <t>[29]</t>
  </si>
  <si>
    <t>[31]</t>
  </si>
  <si>
    <t>[33]</t>
  </si>
  <si>
    <t>[34]</t>
  </si>
  <si>
    <t>[35]</t>
  </si>
  <si>
    <t>[36]</t>
  </si>
  <si>
    <t>[37]</t>
  </si>
  <si>
    <t>[38]</t>
  </si>
  <si>
    <t>[39, 95]</t>
  </si>
  <si>
    <t>[40, 96]</t>
  </si>
  <si>
    <t>[42]</t>
  </si>
  <si>
    <t>[43]</t>
  </si>
  <si>
    <t>[44]</t>
  </si>
  <si>
    <t>[47]</t>
  </si>
  <si>
    <t>[48]</t>
  </si>
  <si>
    <t>[49]</t>
  </si>
  <si>
    <t>[53]</t>
  </si>
  <si>
    <t>[54]</t>
  </si>
  <si>
    <t>[55]</t>
  </si>
  <si>
    <t>[56]</t>
  </si>
  <si>
    <t>[58]</t>
  </si>
  <si>
    <t>[59]</t>
  </si>
  <si>
    <t>[60]</t>
  </si>
  <si>
    <t>[63]</t>
  </si>
  <si>
    <t>[66]</t>
  </si>
  <si>
    <t>[67]</t>
  </si>
  <si>
    <t>[68]</t>
  </si>
  <si>
    <t>[70]</t>
  </si>
  <si>
    <t>[71]</t>
  </si>
  <si>
    <t>[72]</t>
  </si>
  <si>
    <t>[73]</t>
  </si>
  <si>
    <t>[74]</t>
  </si>
  <si>
    <t>[75]</t>
  </si>
  <si>
    <t>[76]</t>
  </si>
  <si>
    <t>[77]</t>
  </si>
  <si>
    <t>[78]</t>
  </si>
  <si>
    <t>[80]</t>
  </si>
  <si>
    <t>[81]</t>
  </si>
  <si>
    <t>[82]</t>
  </si>
  <si>
    <t>[83]</t>
  </si>
  <si>
    <t>[84]</t>
  </si>
  <si>
    <t>[85]</t>
  </si>
  <si>
    <t>[86]</t>
  </si>
  <si>
    <t>[87]</t>
  </si>
  <si>
    <t>[88]</t>
  </si>
  <si>
    <t>[89]</t>
  </si>
  <si>
    <t>[90]</t>
  </si>
  <si>
    <t>[91]</t>
  </si>
  <si>
    <t>[92]</t>
  </si>
  <si>
    <t>[93]</t>
  </si>
  <si>
    <t>[94]</t>
  </si>
  <si>
    <t>[97]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</si>
  <si>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</si>
  <si>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</si>
  <si>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</si>
  <si>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</si>
  <si>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</si>
  <si>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</si>
  <si>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</si>
  <si>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</si>
  <si>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[109, 144]</t>
  </si>
  <si>
    <t>[110]</t>
  </si>
  <si>
    <t>[111, 153]</t>
  </si>
  <si>
    <t>[112, 134]</t>
  </si>
  <si>
    <t>[113, 129, 149, 165]</t>
  </si>
  <si>
    <t>[114]</t>
  </si>
  <si>
    <t>[115]</t>
  </si>
  <si>
    <t>[116]</t>
  </si>
  <si>
    <t>[117]</t>
  </si>
  <si>
    <t>[118]</t>
  </si>
  <si>
    <t>[119, 181]</t>
  </si>
  <si>
    <t>[120, 168]</t>
  </si>
  <si>
    <t>[121]</t>
  </si>
  <si>
    <t>[122]</t>
  </si>
  <si>
    <t>[123, 167]</t>
  </si>
  <si>
    <t>[124]</t>
  </si>
  <si>
    <t>[125]</t>
  </si>
  <si>
    <t>[126, 135]</t>
  </si>
  <si>
    <t>[127]</t>
  </si>
  <si>
    <t>[128]</t>
  </si>
  <si>
    <t>[130, 154]</t>
  </si>
  <si>
    <t>[131, 160]</t>
  </si>
  <si>
    <t>[132, 148, 155, 164]</t>
  </si>
  <si>
    <t>[133]</t>
  </si>
  <si>
    <t>[136]</t>
  </si>
  <si>
    <t>[137]</t>
  </si>
  <si>
    <t>[138]</t>
  </si>
  <si>
    <t>[139]</t>
  </si>
  <si>
    <t>[140]</t>
  </si>
  <si>
    <t>[141]</t>
  </si>
  <si>
    <t>[142]</t>
  </si>
  <si>
    <t>[143]</t>
  </si>
  <si>
    <t>[145]</t>
  </si>
  <si>
    <t>[146]</t>
  </si>
  <si>
    <t>[147]</t>
  </si>
  <si>
    <t>[150]</t>
  </si>
  <si>
    <t>[151]</t>
  </si>
  <si>
    <t>[152]</t>
  </si>
  <si>
    <t>[156]</t>
  </si>
  <si>
    <t>[157]</t>
  </si>
  <si>
    <t>[158]</t>
  </si>
  <si>
    <t>[159]</t>
  </si>
  <si>
    <t>[161]</t>
  </si>
  <si>
    <t>[162]</t>
  </si>
  <si>
    <t>[163]</t>
  </si>
  <si>
    <t>[166]</t>
  </si>
  <si>
    <t>[169]</t>
  </si>
  <si>
    <t>[170]</t>
  </si>
  <si>
    <t>[171]</t>
  </si>
  <si>
    <t>[172]</t>
  </si>
  <si>
    <t>[173]</t>
  </si>
  <si>
    <t>[174]</t>
  </si>
  <si>
    <t>[175]</t>
  </si>
  <si>
    <t>[176]</t>
  </si>
  <si>
    <t>[177]</t>
  </si>
  <si>
    <t>[178]</t>
  </si>
  <si>
    <t>[179]</t>
  </si>
  <si>
    <t>[180]</t>
  </si>
  <si>
    <t>[182]</t>
  </si>
  <si>
    <t>[183]</t>
  </si>
  <si>
    <t>[184]</t>
  </si>
  <si>
    <t>[185]</t>
  </si>
  <si>
    <t>[186]</t>
  </si>
  <si>
    <t>[187]</t>
  </si>
  <si>
    <t>[188]</t>
  </si>
  <si>
    <t>[189]</t>
  </si>
  <si>
    <t>[190]</t>
  </si>
  <si>
    <t>[191]</t>
  </si>
  <si>
    <t>[192]</t>
  </si>
  <si>
    <t>[193]</t>
  </si>
  <si>
    <t>[194]</t>
  </si>
  <si>
    <t>[195]</t>
  </si>
  <si>
    <t>[196, 228]</t>
  </si>
  <si>
    <t>[197]</t>
  </si>
  <si>
    <t>[198, 236]</t>
  </si>
  <si>
    <t>[199, 217]</t>
  </si>
  <si>
    <t>[200, 213, 233, 247]</t>
  </si>
  <si>
    <t>[201]</t>
  </si>
  <si>
    <t>[202]</t>
  </si>
  <si>
    <t>[203]</t>
  </si>
  <si>
    <t>[204]</t>
  </si>
  <si>
    <t>[205, 263]</t>
  </si>
  <si>
    <t>[206, 250]</t>
  </si>
  <si>
    <t>[207, 254]</t>
  </si>
  <si>
    <t>[208]</t>
  </si>
  <si>
    <t>[209]</t>
  </si>
  <si>
    <t>[210]</t>
  </si>
  <si>
    <t>[211, 219]</t>
  </si>
  <si>
    <t>[212]</t>
  </si>
  <si>
    <t>[214, 237]</t>
  </si>
  <si>
    <t>[215, 232, 238, 246]</t>
  </si>
  <si>
    <t>[216]</t>
  </si>
  <si>
    <t>[218]</t>
  </si>
  <si>
    <t>[220]</t>
  </si>
  <si>
    <t>[221]</t>
  </si>
  <si>
    <t>[222]</t>
  </si>
  <si>
    <t>[223]</t>
  </si>
  <si>
    <t>[224]</t>
  </si>
  <si>
    <t>[225]</t>
  </si>
  <si>
    <t>[226]</t>
  </si>
  <si>
    <t>[227]</t>
  </si>
  <si>
    <t>[229]</t>
  </si>
  <si>
    <t>[230]</t>
  </si>
  <si>
    <t>[231]</t>
  </si>
  <si>
    <t>[234]</t>
  </si>
  <si>
    <t>[235]</t>
  </si>
  <si>
    <t>[239]</t>
  </si>
  <si>
    <t>[240]</t>
  </si>
  <si>
    <t>[241]</t>
  </si>
  <si>
    <t>[242]</t>
  </si>
  <si>
    <t>[243]</t>
  </si>
  <si>
    <t>[244]</t>
  </si>
  <si>
    <t>[245]</t>
  </si>
  <si>
    <t>[248]</t>
  </si>
  <si>
    <t>[249]</t>
  </si>
  <si>
    <t>[251]</t>
  </si>
  <si>
    <t>[252]</t>
  </si>
  <si>
    <t>[253]</t>
  </si>
  <si>
    <t>[255]</t>
  </si>
  <si>
    <t>[256]</t>
  </si>
  <si>
    <t>[257]</t>
  </si>
  <si>
    <t>[258]</t>
  </si>
  <si>
    <t>[259]</t>
  </si>
  <si>
    <t>[260]</t>
  </si>
  <si>
    <t>[261]</t>
  </si>
  <si>
    <t>[262]</t>
  </si>
  <si>
    <t>[264]</t>
  </si>
  <si>
    <t>[265]</t>
  </si>
  <si>
    <t>[266]</t>
  </si>
  <si>
    <t>[267]</t>
  </si>
  <si>
    <t>[268]</t>
  </si>
  <si>
    <t>[269]</t>
  </si>
  <si>
    <t>[270]</t>
  </si>
  <si>
    <t>[271]</t>
  </si>
  <si>
    <t>[272]</t>
  </si>
  <si>
    <t>[273]</t>
  </si>
  <si>
    <t>[274, 282]</t>
  </si>
  <si>
    <t>[275]</t>
  </si>
  <si>
    <t>[276]</t>
  </si>
  <si>
    <t>[277, 326, 332, 337]</t>
  </si>
  <si>
    <t>[278, 334]</t>
  </si>
  <si>
    <t>[279, 331, 333, 336]</t>
  </si>
  <si>
    <t>[280]</t>
  </si>
  <si>
    <t>[281, 325]</t>
  </si>
  <si>
    <t>[283]</t>
  </si>
  <si>
    <t>[284]</t>
  </si>
  <si>
    <t>[285, 294]</t>
  </si>
  <si>
    <t>[286]</t>
  </si>
  <si>
    <t>[287]</t>
  </si>
  <si>
    <t>[288, 327]</t>
  </si>
  <si>
    <t>[289]</t>
  </si>
  <si>
    <t>[290]</t>
  </si>
  <si>
    <t>[291]</t>
  </si>
  <si>
    <t>[292]</t>
  </si>
  <si>
    <t>[293]</t>
  </si>
  <si>
    <t>[295]</t>
  </si>
  <si>
    <t>[296]</t>
  </si>
  <si>
    <t>[297, 306]</t>
  </si>
  <si>
    <t>[298]</t>
  </si>
  <si>
    <t>[299]</t>
  </si>
  <si>
    <t>[300, 328]</t>
  </si>
  <si>
    <t>[301]</t>
  </si>
  <si>
    <t>[302]</t>
  </si>
  <si>
    <t>[303]</t>
  </si>
  <si>
    <t>[304]</t>
  </si>
  <si>
    <t>[305]</t>
  </si>
  <si>
    <t>[307]</t>
  </si>
  <si>
    <t>[308]</t>
  </si>
  <si>
    <t>[309]</t>
  </si>
  <si>
    <t>[310]</t>
  </si>
  <si>
    <t>[311, 319]</t>
  </si>
  <si>
    <t>[312]</t>
  </si>
  <si>
    <t>[313]</t>
  </si>
  <si>
    <t>[314, 324]</t>
  </si>
  <si>
    <t>[315]</t>
  </si>
  <si>
    <t>[316]</t>
  </si>
  <si>
    <t>[317]</t>
  </si>
  <si>
    <t>[318]</t>
  </si>
  <si>
    <t>[320]</t>
  </si>
  <si>
    <t>[321]</t>
  </si>
  <si>
    <t>[322]</t>
  </si>
  <si>
    <t>[323]</t>
  </si>
  <si>
    <t>[329]</t>
  </si>
  <si>
    <t>[330]</t>
  </si>
  <si>
    <t>[335]</t>
  </si>
  <si>
    <t>[338]</t>
  </si>
  <si>
    <t>[339]</t>
  </si>
  <si>
    <t>[340]</t>
  </si>
  <si>
    <t>[341]</t>
  </si>
  <si>
    <t>[342]</t>
  </si>
  <si>
    <t>[343]</t>
  </si>
  <si>
    <t>[344]</t>
  </si>
  <si>
    <t>Name</t>
  </si>
  <si>
    <t>Min</t>
  </si>
  <si>
    <t>Max</t>
  </si>
  <si>
    <t>Count</t>
  </si>
  <si>
    <t>x=y</t>
  </si>
  <si>
    <t>y_pred_std</t>
  </si>
  <si>
    <t>y_pred_avr (0 fold)</t>
  </si>
  <si>
    <t xml:space="preserve">y_pred_std </t>
  </si>
  <si>
    <t>Multiple R</t>
  </si>
  <si>
    <t>R Square</t>
  </si>
  <si>
    <t>Adjusted R Square</t>
  </si>
  <si>
    <t>Standard Error</t>
  </si>
  <si>
    <t>y_pred_avr (5 fold)</t>
  </si>
  <si>
    <t>y_cobra_scaler=1</t>
  </si>
  <si>
    <t>R2 test set</t>
  </si>
  <si>
    <t>R2 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</si>
</sst>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0" fillId="2" borderId="0" xfId="0" applyFill="1"/>
    <xf numFmtId="0" fontId="1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0" fillId="0" borderId="6" xfId="0" applyBorder="1"/>
    <xf numFmtId="0" fontId="5" fillId="0" borderId="7" xfId="0" applyFont="1" applyBorder="1" applyAlignment="1">
      <alignment horizontal="centerContinuous"/>
    </xf>
    <xf numFmtId="0" fontId="0" fillId="0" borderId="0" xfId="0" applyFill="1" applyBorder="1" applyAlignment="1"/>
    <xf numFmtId="0" fontId="0" fillId="0" borderId="6" xfId="0" applyFill="1" applyBorder="1" applyAlignment="1"/>
    <xf numFmtId="0" fontId="5" fillId="0" borderId="7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'Paul dataset'!$AJ$1</c:f>
              <c:strCache>
                <c:ptCount val="1"/>
                <c:pt idx="0">
                  <c:v>y_pred_avr (0 fold)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1"/>
            <c:plus>
              <c:numRef>
                <c:f>'Paul dataset'!$AK$2:$AK$281</c:f>
                <c:numCache>
                  <c:formatCode>General</c:formatCode>
                  <c:ptCount val="280"/>
                  <c:pt idx="0">
                    <c:v>9.1457795351743698E-3</c:v>
                  </c:pt>
                  <c:pt idx="1">
                    <c:v>2.1579984575510001E-2</c:v>
                  </c:pt>
                  <c:pt idx="2">
                    <c:v>6.0240556485950903E-3</c:v>
                  </c:pt>
                  <c:pt idx="3">
                    <c:v>9.5462193712592108E-3</c:v>
                  </c:pt>
                  <c:pt idx="4">
                    <c:v>9.2136533930897695E-3</c:v>
                  </c:pt>
                  <c:pt idx="5">
                    <c:v>1.6740679740905699E-2</c:v>
                  </c:pt>
                  <c:pt idx="6">
                    <c:v>3.8206215947866398E-2</c:v>
                  </c:pt>
                  <c:pt idx="7">
                    <c:v>1.8503939732909199E-2</c:v>
                  </c:pt>
                  <c:pt idx="8">
                    <c:v>8.6544165387749603E-3</c:v>
                  </c:pt>
                  <c:pt idx="9">
                    <c:v>7.2541111148893798E-3</c:v>
                  </c:pt>
                  <c:pt idx="10">
                    <c:v>9.2185800895094802E-3</c:v>
                  </c:pt>
                  <c:pt idx="11">
                    <c:v>7.91910570114851E-3</c:v>
                  </c:pt>
                  <c:pt idx="12">
                    <c:v>1.5543176792561999E-2</c:v>
                  </c:pt>
                  <c:pt idx="13">
                    <c:v>1.0659004561603E-2</c:v>
                  </c:pt>
                  <c:pt idx="14">
                    <c:v>1.8203554674983E-2</c:v>
                  </c:pt>
                  <c:pt idx="15">
                    <c:v>1.23389074578881E-2</c:v>
                  </c:pt>
                  <c:pt idx="16">
                    <c:v>1.7535263672471001E-2</c:v>
                  </c:pt>
                  <c:pt idx="17">
                    <c:v>2.4364395067095701E-2</c:v>
                  </c:pt>
                  <c:pt idx="18">
                    <c:v>2.4445518851280199E-2</c:v>
                  </c:pt>
                  <c:pt idx="19">
                    <c:v>2.1348116919398301E-2</c:v>
                  </c:pt>
                  <c:pt idx="20">
                    <c:v>2.2476838901638901E-2</c:v>
                  </c:pt>
                  <c:pt idx="21">
                    <c:v>2.1271973848342798E-2</c:v>
                  </c:pt>
                  <c:pt idx="22">
                    <c:v>1.1332160793244801E-2</c:v>
                  </c:pt>
                  <c:pt idx="23">
                    <c:v>1.9963832572102502E-2</c:v>
                  </c:pt>
                  <c:pt idx="24">
                    <c:v>1.3506894931197101E-2</c:v>
                  </c:pt>
                  <c:pt idx="25">
                    <c:v>2.18190271407365E-2</c:v>
                  </c:pt>
                  <c:pt idx="26">
                    <c:v>2.3525500670075399E-2</c:v>
                  </c:pt>
                  <c:pt idx="27">
                    <c:v>3.3066678792238201E-2</c:v>
                  </c:pt>
                  <c:pt idx="28">
                    <c:v>9.8265474662184698E-3</c:v>
                  </c:pt>
                  <c:pt idx="29">
                    <c:v>1.39236329123377E-2</c:v>
                  </c:pt>
                  <c:pt idx="30">
                    <c:v>9.9677974358200992E-3</c:v>
                  </c:pt>
                  <c:pt idx="31">
                    <c:v>1.1013912968337499E-2</c:v>
                  </c:pt>
                  <c:pt idx="32">
                    <c:v>7.1802888996899102E-3</c:v>
                  </c:pt>
                  <c:pt idx="33">
                    <c:v>1.7270479351282099E-2</c:v>
                  </c:pt>
                  <c:pt idx="34">
                    <c:v>6.7639066837727998E-3</c:v>
                  </c:pt>
                  <c:pt idx="35">
                    <c:v>6.32170354947447E-3</c:v>
                  </c:pt>
                  <c:pt idx="36">
                    <c:v>4.7067073173820903E-3</c:v>
                  </c:pt>
                  <c:pt idx="37">
                    <c:v>2.5697553530335399E-2</c:v>
                  </c:pt>
                  <c:pt idx="38">
                    <c:v>5.5186673998832703E-3</c:v>
                  </c:pt>
                  <c:pt idx="39">
                    <c:v>1.9765924662351601E-2</c:v>
                  </c:pt>
                  <c:pt idx="40">
                    <c:v>1.0633027181029301E-2</c:v>
                  </c:pt>
                  <c:pt idx="41">
                    <c:v>1.9357206299901002E-2</c:v>
                  </c:pt>
                  <c:pt idx="42">
                    <c:v>1.1332557536661601E-2</c:v>
                  </c:pt>
                  <c:pt idx="43">
                    <c:v>8.84805060923099E-3</c:v>
                  </c:pt>
                  <c:pt idx="44">
                    <c:v>1.7561396583914701E-2</c:v>
                  </c:pt>
                  <c:pt idx="45">
                    <c:v>2.2418580483645201E-3</c:v>
                  </c:pt>
                  <c:pt idx="46">
                    <c:v>1.4908999204635599E-2</c:v>
                  </c:pt>
                  <c:pt idx="47">
                    <c:v>1.8329473212361301E-2</c:v>
                  </c:pt>
                  <c:pt idx="48">
                    <c:v>1.7926238477229999E-2</c:v>
                  </c:pt>
                  <c:pt idx="49">
                    <c:v>2.5230042636394501E-2</c:v>
                  </c:pt>
                  <c:pt idx="50">
                    <c:v>1.2399621307849801E-2</c:v>
                  </c:pt>
                  <c:pt idx="51">
                    <c:v>1.9935999065637498E-2</c:v>
                  </c:pt>
                  <c:pt idx="52">
                    <c:v>2.2210901603102601E-2</c:v>
                  </c:pt>
                  <c:pt idx="53">
                    <c:v>1.47570045664906E-2</c:v>
                  </c:pt>
                  <c:pt idx="54">
                    <c:v>4.9478197470307298E-3</c:v>
                  </c:pt>
                  <c:pt idx="55">
                    <c:v>1.04042552411556E-2</c:v>
                  </c:pt>
                  <c:pt idx="56">
                    <c:v>7.9725226387381502E-3</c:v>
                  </c:pt>
                  <c:pt idx="57">
                    <c:v>9.6001662313938106E-3</c:v>
                  </c:pt>
                  <c:pt idx="58">
                    <c:v>8.6184628307819297E-3</c:v>
                  </c:pt>
                  <c:pt idx="59">
                    <c:v>4.9876449629664404E-3</c:v>
                  </c:pt>
                  <c:pt idx="60">
                    <c:v>7.4545694515109001E-3</c:v>
                  </c:pt>
                  <c:pt idx="61">
                    <c:v>7.5227543711662197E-3</c:v>
                  </c:pt>
                  <c:pt idx="62">
                    <c:v>1.8519122153520501E-2</c:v>
                  </c:pt>
                  <c:pt idx="63">
                    <c:v>2.5386316701769801E-2</c:v>
                  </c:pt>
                  <c:pt idx="64">
                    <c:v>2.9142165556550002E-2</c:v>
                  </c:pt>
                  <c:pt idx="65">
                    <c:v>2.5865076109766901E-2</c:v>
                  </c:pt>
                  <c:pt idx="66">
                    <c:v>4.1615855880081602E-3</c:v>
                  </c:pt>
                  <c:pt idx="67">
                    <c:v>1.31313689053058E-2</c:v>
                  </c:pt>
                  <c:pt idx="68">
                    <c:v>1.13771837204694E-2</c:v>
                  </c:pt>
                  <c:pt idx="69">
                    <c:v>9.3998890370130504E-3</c:v>
                  </c:pt>
                  <c:pt idx="70">
                    <c:v>6.0967910103499803E-3</c:v>
                  </c:pt>
                  <c:pt idx="71">
                    <c:v>3.3207393717020698E-3</c:v>
                  </c:pt>
                  <c:pt idx="72">
                    <c:v>2.99977185204625E-3</c:v>
                  </c:pt>
                  <c:pt idx="73">
                    <c:v>1.3967496342957001E-2</c:v>
                  </c:pt>
                  <c:pt idx="74">
                    <c:v>6.6223652102053096E-3</c:v>
                  </c:pt>
                  <c:pt idx="75">
                    <c:v>1.2283219955861501E-2</c:v>
                  </c:pt>
                  <c:pt idx="76">
                    <c:v>1.3303679414093401E-2</c:v>
                  </c:pt>
                  <c:pt idx="77">
                    <c:v>1.00059434771537E-2</c:v>
                  </c:pt>
                  <c:pt idx="78">
                    <c:v>2.2259375546127501E-3</c:v>
                  </c:pt>
                  <c:pt idx="79">
                    <c:v>3.1784742604941099E-3</c:v>
                  </c:pt>
                  <c:pt idx="80">
                    <c:v>7.3074544779956297E-3</c:v>
                  </c:pt>
                  <c:pt idx="81">
                    <c:v>1.1243022978305799E-2</c:v>
                  </c:pt>
                  <c:pt idx="82">
                    <c:v>7.6253423467278402E-3</c:v>
                  </c:pt>
                  <c:pt idx="83">
                    <c:v>7.9741422086954099E-3</c:v>
                  </c:pt>
                  <c:pt idx="84">
                    <c:v>4.40231673419475E-2</c:v>
                  </c:pt>
                  <c:pt idx="85">
                    <c:v>1.24350823462009E-2</c:v>
                  </c:pt>
                  <c:pt idx="86">
                    <c:v>8.6925616487860593E-3</c:v>
                  </c:pt>
                  <c:pt idx="87">
                    <c:v>8.99915304034948E-3</c:v>
                  </c:pt>
                  <c:pt idx="88">
                    <c:v>1.8202835693955401E-2</c:v>
                  </c:pt>
                  <c:pt idx="89">
                    <c:v>8.1574944779276796E-3</c:v>
                  </c:pt>
                  <c:pt idx="90">
                    <c:v>1.1777279898524199E-2</c:v>
                  </c:pt>
                  <c:pt idx="91">
                    <c:v>1.6222396865487099E-2</c:v>
                  </c:pt>
                  <c:pt idx="92">
                    <c:v>3.2418757677078198E-2</c:v>
                  </c:pt>
                  <c:pt idx="93">
                    <c:v>3.7322510033845901E-2</c:v>
                  </c:pt>
                  <c:pt idx="94">
                    <c:v>7.0397299714386402E-3</c:v>
                  </c:pt>
                  <c:pt idx="95">
                    <c:v>5.8576613664626997E-3</c:v>
                  </c:pt>
                  <c:pt idx="96">
                    <c:v>6.7089335061609702E-3</c:v>
                  </c:pt>
                  <c:pt idx="97">
                    <c:v>1.1252652853727301E-2</c:v>
                  </c:pt>
                  <c:pt idx="98">
                    <c:v>1.2393782846629601E-2</c:v>
                  </c:pt>
                  <c:pt idx="99">
                    <c:v>4.2808195576071696E-3</c:v>
                  </c:pt>
                  <c:pt idx="100">
                    <c:v>1.6760649159550601E-2</c:v>
                  </c:pt>
                  <c:pt idx="101">
                    <c:v>2.1529145538806901E-2</c:v>
                  </c:pt>
                  <c:pt idx="102">
                    <c:v>1.5819037333130798E-2</c:v>
                  </c:pt>
                  <c:pt idx="103">
                    <c:v>1.9102811813354399E-2</c:v>
                  </c:pt>
                  <c:pt idx="104">
                    <c:v>2.7780460193753201E-2</c:v>
                  </c:pt>
                  <c:pt idx="105">
                    <c:v>6.7642242647707402E-3</c:v>
                  </c:pt>
                  <c:pt idx="106">
                    <c:v>3.1164824962615901E-2</c:v>
                  </c:pt>
                  <c:pt idx="107">
                    <c:v>1.34510705247521E-2</c:v>
                  </c:pt>
                  <c:pt idx="108">
                    <c:v>1.84354018419981E-2</c:v>
                  </c:pt>
                  <c:pt idx="109">
                    <c:v>6.3312537968158696E-3</c:v>
                  </c:pt>
                  <c:pt idx="110">
                    <c:v>2.14179269969463E-2</c:v>
                  </c:pt>
                  <c:pt idx="111">
                    <c:v>5.7231788523495197E-3</c:v>
                  </c:pt>
                  <c:pt idx="112">
                    <c:v>2.5695160031318599E-2</c:v>
                  </c:pt>
                  <c:pt idx="113">
                    <c:v>1.9612839445471701E-2</c:v>
                  </c:pt>
                  <c:pt idx="114">
                    <c:v>1.0648323222994799E-2</c:v>
                  </c:pt>
                  <c:pt idx="115">
                    <c:v>6.30595488473773E-3</c:v>
                  </c:pt>
                  <c:pt idx="116">
                    <c:v>9.3655409291386604E-3</c:v>
                  </c:pt>
                  <c:pt idx="117">
                    <c:v>1.35210249572992E-2</c:v>
                  </c:pt>
                  <c:pt idx="118">
                    <c:v>1.5858782455325099E-2</c:v>
                  </c:pt>
                  <c:pt idx="119">
                    <c:v>2.0807769149541799E-2</c:v>
                  </c:pt>
                  <c:pt idx="120">
                    <c:v>1.85886258259415E-3</c:v>
                  </c:pt>
                  <c:pt idx="121">
                    <c:v>1.40892695635557E-2</c:v>
                  </c:pt>
                  <c:pt idx="122">
                    <c:v>5.8822664432227603E-3</c:v>
                  </c:pt>
                  <c:pt idx="123">
                    <c:v>2.03577540814876E-2</c:v>
                  </c:pt>
                  <c:pt idx="124">
                    <c:v>7.0455698296427701E-3</c:v>
                  </c:pt>
                  <c:pt idx="125">
                    <c:v>4.2017442174255796E-3</c:v>
                  </c:pt>
                  <c:pt idx="126">
                    <c:v>7.3247519321739604E-3</c:v>
                  </c:pt>
                  <c:pt idx="127">
                    <c:v>6.6712005063891402E-3</c:v>
                  </c:pt>
                  <c:pt idx="128">
                    <c:v>7.8929075971245696E-3</c:v>
                  </c:pt>
                  <c:pt idx="129">
                    <c:v>1.27990683540701E-2</c:v>
                  </c:pt>
                  <c:pt idx="130">
                    <c:v>2.1544598042964901E-2</c:v>
                  </c:pt>
                  <c:pt idx="131">
                    <c:v>2.42276899516582E-2</c:v>
                  </c:pt>
                  <c:pt idx="132">
                    <c:v>1.7772853374481201E-2</c:v>
                  </c:pt>
                  <c:pt idx="133">
                    <c:v>1.5345871448516801E-2</c:v>
                  </c:pt>
                  <c:pt idx="134">
                    <c:v>1.6899844631552599E-2</c:v>
                  </c:pt>
                  <c:pt idx="135">
                    <c:v>2.8091860935091899E-2</c:v>
                  </c:pt>
                  <c:pt idx="136">
                    <c:v>2.20793616026639E-2</c:v>
                  </c:pt>
                  <c:pt idx="137">
                    <c:v>1.6912821680307302E-2</c:v>
                  </c:pt>
                  <c:pt idx="138">
                    <c:v>1.8025280907750098E-2</c:v>
                  </c:pt>
                  <c:pt idx="139">
                    <c:v>9.9744647741317697E-3</c:v>
                  </c:pt>
                  <c:pt idx="140">
                    <c:v>1.9168877974152499E-2</c:v>
                  </c:pt>
                  <c:pt idx="141">
                    <c:v>1.2354062870144801E-2</c:v>
                  </c:pt>
                  <c:pt idx="142">
                    <c:v>1.5494897961616501E-2</c:v>
                  </c:pt>
                  <c:pt idx="143">
                    <c:v>1.10781025141477E-2</c:v>
                  </c:pt>
                  <c:pt idx="144">
                    <c:v>8.8244332000613195E-3</c:v>
                  </c:pt>
                  <c:pt idx="145">
                    <c:v>1.25161558389663E-2</c:v>
                  </c:pt>
                  <c:pt idx="146">
                    <c:v>1.00324191153049E-2</c:v>
                  </c:pt>
                  <c:pt idx="147">
                    <c:v>5.5607398971915202E-3</c:v>
                  </c:pt>
                  <c:pt idx="148">
                    <c:v>1.42404828220605E-2</c:v>
                  </c:pt>
                  <c:pt idx="149">
                    <c:v>5.4934043437242499E-3</c:v>
                  </c:pt>
                  <c:pt idx="150">
                    <c:v>1.5719240531325299E-2</c:v>
                  </c:pt>
                  <c:pt idx="151">
                    <c:v>2.7875760570168402E-2</c:v>
                  </c:pt>
                  <c:pt idx="152">
                    <c:v>4.9939490854740099E-3</c:v>
                  </c:pt>
                  <c:pt idx="153">
                    <c:v>9.9518988281488401E-3</c:v>
                  </c:pt>
                  <c:pt idx="154">
                    <c:v>9.4409044831991196E-3</c:v>
                  </c:pt>
                  <c:pt idx="155">
                    <c:v>7.6796915382146801E-3</c:v>
                  </c:pt>
                  <c:pt idx="156">
                    <c:v>2.8910603374242699E-2</c:v>
                  </c:pt>
                  <c:pt idx="157">
                    <c:v>6.4996005967259398E-3</c:v>
                  </c:pt>
                  <c:pt idx="158">
                    <c:v>7.9142628237605095E-3</c:v>
                  </c:pt>
                  <c:pt idx="159">
                    <c:v>7.75194447487592E-3</c:v>
                  </c:pt>
                  <c:pt idx="160">
                    <c:v>1.91383541096001E-3</c:v>
                  </c:pt>
                  <c:pt idx="161">
                    <c:v>1.12574081867933E-2</c:v>
                  </c:pt>
                  <c:pt idx="162">
                    <c:v>1.6997151076793601E-2</c:v>
                  </c:pt>
                  <c:pt idx="163">
                    <c:v>2.2065822035074199E-2</c:v>
                  </c:pt>
                  <c:pt idx="164">
                    <c:v>2.5067776441574E-2</c:v>
                  </c:pt>
                  <c:pt idx="165">
                    <c:v>7.09874555468559E-3</c:v>
                  </c:pt>
                  <c:pt idx="166">
                    <c:v>5.3910370916128098E-3</c:v>
                  </c:pt>
                  <c:pt idx="167">
                    <c:v>1.8962755799293501E-2</c:v>
                  </c:pt>
                  <c:pt idx="168">
                    <c:v>9.7328051924705505E-3</c:v>
                  </c:pt>
                  <c:pt idx="169">
                    <c:v>9.7238644957542402E-3</c:v>
                  </c:pt>
                  <c:pt idx="170">
                    <c:v>1.21511071920394E-2</c:v>
                  </c:pt>
                  <c:pt idx="171">
                    <c:v>1.6200393438339199E-2</c:v>
                  </c:pt>
                  <c:pt idx="172">
                    <c:v>1.9133720546960799E-2</c:v>
                  </c:pt>
                  <c:pt idx="173">
                    <c:v>1.46695151925086E-2</c:v>
                  </c:pt>
                  <c:pt idx="174">
                    <c:v>2.2892773151397702E-2</c:v>
                  </c:pt>
                  <c:pt idx="175">
                    <c:v>2.5725010782480202E-2</c:v>
                  </c:pt>
                  <c:pt idx="176">
                    <c:v>1.44053027033805E-2</c:v>
                  </c:pt>
                  <c:pt idx="177">
                    <c:v>1.37584852054715E-2</c:v>
                  </c:pt>
                  <c:pt idx="178">
                    <c:v>1.34340999647974E-2</c:v>
                  </c:pt>
                  <c:pt idx="179">
                    <c:v>1.94806531071662E-2</c:v>
                  </c:pt>
                  <c:pt idx="180">
                    <c:v>1.46808819845318E-2</c:v>
                  </c:pt>
                  <c:pt idx="181">
                    <c:v>1.7587726935744199E-2</c:v>
                  </c:pt>
                  <c:pt idx="182">
                    <c:v>2.3491962347179599E-3</c:v>
                  </c:pt>
                  <c:pt idx="183">
                    <c:v>7.9916846007108602E-3</c:v>
                  </c:pt>
                  <c:pt idx="184">
                    <c:v>9.1141657903790405E-3</c:v>
                  </c:pt>
                  <c:pt idx="185">
                    <c:v>4.6349251642823202E-3</c:v>
                  </c:pt>
                  <c:pt idx="186">
                    <c:v>6.2628458254039201E-3</c:v>
                  </c:pt>
                  <c:pt idx="187">
                    <c:v>1.69485006481409E-2</c:v>
                  </c:pt>
                  <c:pt idx="188">
                    <c:v>2.9778057709336201E-2</c:v>
                  </c:pt>
                  <c:pt idx="189">
                    <c:v>5.9593748301267598E-3</c:v>
                  </c:pt>
                  <c:pt idx="190">
                    <c:v>4.0242350660264397E-3</c:v>
                  </c:pt>
                  <c:pt idx="191">
                    <c:v>8.3710951730608905E-3</c:v>
                  </c:pt>
                  <c:pt idx="192">
                    <c:v>9.0418756008148193E-3</c:v>
                  </c:pt>
                  <c:pt idx="193">
                    <c:v>2.8900874312967001E-3</c:v>
                  </c:pt>
                  <c:pt idx="194">
                    <c:v>1.7290787771344102E-2</c:v>
                  </c:pt>
                  <c:pt idx="195">
                    <c:v>5.6484458036720701E-3</c:v>
                  </c:pt>
                  <c:pt idx="196">
                    <c:v>1.7247477546334201E-2</c:v>
                  </c:pt>
                  <c:pt idx="197">
                    <c:v>1.47590450942516E-2</c:v>
                  </c:pt>
                  <c:pt idx="198">
                    <c:v>2.4184819310903501E-2</c:v>
                  </c:pt>
                  <c:pt idx="199">
                    <c:v>2.0527862012386301E-2</c:v>
                  </c:pt>
                  <c:pt idx="200">
                    <c:v>1.35878892615437E-2</c:v>
                  </c:pt>
                  <c:pt idx="201">
                    <c:v>1.2937629595398899E-2</c:v>
                  </c:pt>
                  <c:pt idx="202">
                    <c:v>2.5110505521297399E-2</c:v>
                  </c:pt>
                  <c:pt idx="203">
                    <c:v>1.8020326271653099E-2</c:v>
                  </c:pt>
                  <c:pt idx="204">
                    <c:v>2.8249757364392201E-2</c:v>
                  </c:pt>
                  <c:pt idx="205">
                    <c:v>1.3534259051084499E-2</c:v>
                  </c:pt>
                  <c:pt idx="206">
                    <c:v>2.3902758955955498E-2</c:v>
                  </c:pt>
                  <c:pt idx="207">
                    <c:v>1.1460612528026101E-2</c:v>
                  </c:pt>
                  <c:pt idx="208">
                    <c:v>1.1959120631217899E-2</c:v>
                  </c:pt>
                  <c:pt idx="209">
                    <c:v>1.2865878641605299E-2</c:v>
                  </c:pt>
                  <c:pt idx="210">
                    <c:v>8.3555886521935394E-3</c:v>
                  </c:pt>
                  <c:pt idx="211">
                    <c:v>9.8691564053297008E-3</c:v>
                  </c:pt>
                  <c:pt idx="212">
                    <c:v>5.29063725844025E-3</c:v>
                  </c:pt>
                  <c:pt idx="213">
                    <c:v>2.4768413975834801E-2</c:v>
                  </c:pt>
                  <c:pt idx="214">
                    <c:v>1.45689425989985E-2</c:v>
                  </c:pt>
                  <c:pt idx="215">
                    <c:v>1.8824724480509699E-2</c:v>
                  </c:pt>
                  <c:pt idx="216">
                    <c:v>9.3436604365706392E-3</c:v>
                  </c:pt>
                  <c:pt idx="217">
                    <c:v>2.8754180297255499E-2</c:v>
                  </c:pt>
                  <c:pt idx="218">
                    <c:v>2.6124730706214901E-2</c:v>
                  </c:pt>
                  <c:pt idx="219">
                    <c:v>6.5479376353323399E-3</c:v>
                  </c:pt>
                  <c:pt idx="220">
                    <c:v>9.0088685974478704E-3</c:v>
                  </c:pt>
                  <c:pt idx="221">
                    <c:v>5.8946693316102002E-3</c:v>
                  </c:pt>
                  <c:pt idx="222">
                    <c:v>3.8680907338857602E-2</c:v>
                  </c:pt>
                  <c:pt idx="223">
                    <c:v>5.7880007661879002E-3</c:v>
                  </c:pt>
                  <c:pt idx="224">
                    <c:v>1.9896109588444198E-3</c:v>
                  </c:pt>
                  <c:pt idx="225">
                    <c:v>6.4208707772195296E-3</c:v>
                  </c:pt>
                  <c:pt idx="226">
                    <c:v>2.36894208937883E-2</c:v>
                  </c:pt>
                  <c:pt idx="227">
                    <c:v>2.4921573698520601E-2</c:v>
                  </c:pt>
                  <c:pt idx="228">
                    <c:v>9.1524748131632805E-3</c:v>
                  </c:pt>
                  <c:pt idx="229">
                    <c:v>1.7915660515427499E-2</c:v>
                  </c:pt>
                  <c:pt idx="230">
                    <c:v>1.6265660524368199E-2</c:v>
                  </c:pt>
                  <c:pt idx="231">
                    <c:v>7.73594947531819E-3</c:v>
                  </c:pt>
                  <c:pt idx="232">
                    <c:v>1.38072408735752E-2</c:v>
                  </c:pt>
                  <c:pt idx="233">
                    <c:v>4.6592056751251203E-3</c:v>
                  </c:pt>
                  <c:pt idx="234">
                    <c:v>1.3951024971902299E-2</c:v>
                  </c:pt>
                  <c:pt idx="235">
                    <c:v>2.1982606500387102E-2</c:v>
                  </c:pt>
                  <c:pt idx="236">
                    <c:v>1.6157865524291899E-2</c:v>
                  </c:pt>
                  <c:pt idx="237">
                    <c:v>9.9306143820285797E-3</c:v>
                  </c:pt>
                  <c:pt idx="238">
                    <c:v>1.3907789252698401E-2</c:v>
                  </c:pt>
                  <c:pt idx="239">
                    <c:v>8.0493437126278808E-3</c:v>
                  </c:pt>
                  <c:pt idx="240">
                    <c:v>1.51712810620665E-2</c:v>
                  </c:pt>
                  <c:pt idx="241">
                    <c:v>1.53456721454858E-2</c:v>
                  </c:pt>
                  <c:pt idx="242">
                    <c:v>3.5913877189159303E-2</c:v>
                  </c:pt>
                  <c:pt idx="243">
                    <c:v>6.2786922790110103E-3</c:v>
                  </c:pt>
                  <c:pt idx="244">
                    <c:v>2.5554304942488601E-2</c:v>
                  </c:pt>
                  <c:pt idx="245">
                    <c:v>2.32502054423093E-2</c:v>
                  </c:pt>
                  <c:pt idx="246">
                    <c:v>1.7280047759413698E-2</c:v>
                  </c:pt>
                  <c:pt idx="247">
                    <c:v>3.1576659530401202E-2</c:v>
                  </c:pt>
                  <c:pt idx="248">
                    <c:v>1.85669604688882E-2</c:v>
                  </c:pt>
                  <c:pt idx="249">
                    <c:v>2.6499604806303902E-2</c:v>
                  </c:pt>
                  <c:pt idx="250">
                    <c:v>1.6611460596322999E-2</c:v>
                  </c:pt>
                  <c:pt idx="251">
                    <c:v>2.7679070830345098E-2</c:v>
                  </c:pt>
                  <c:pt idx="252">
                    <c:v>1.6171097755432101E-2</c:v>
                  </c:pt>
                  <c:pt idx="253">
                    <c:v>6.6799536347389193E-2</c:v>
                  </c:pt>
                  <c:pt idx="254">
                    <c:v>1.0152745991945201E-2</c:v>
                  </c:pt>
                  <c:pt idx="255">
                    <c:v>1.9746625795960399E-2</c:v>
                  </c:pt>
                  <c:pt idx="256">
                    <c:v>2.6422565802931699E-2</c:v>
                  </c:pt>
                  <c:pt idx="257">
                    <c:v>6.4408485777676097E-3</c:v>
                  </c:pt>
                  <c:pt idx="258">
                    <c:v>1.11012300476431E-2</c:v>
                  </c:pt>
                  <c:pt idx="259">
                    <c:v>1.39275370165705E-2</c:v>
                  </c:pt>
                  <c:pt idx="260">
                    <c:v>2.18995437026023E-2</c:v>
                  </c:pt>
                  <c:pt idx="261">
                    <c:v>1.42798731103539E-2</c:v>
                  </c:pt>
                  <c:pt idx="262">
                    <c:v>1.7715735360979999E-2</c:v>
                  </c:pt>
                  <c:pt idx="263">
                    <c:v>1.8732981756329498E-2</c:v>
                  </c:pt>
                  <c:pt idx="264">
                    <c:v>1.34820509701967E-2</c:v>
                  </c:pt>
                  <c:pt idx="265">
                    <c:v>2.94793359935283E-2</c:v>
                  </c:pt>
                  <c:pt idx="266">
                    <c:v>4.3006770312786102E-2</c:v>
                  </c:pt>
                  <c:pt idx="267">
                    <c:v>2.5779257994145099E-3</c:v>
                  </c:pt>
                  <c:pt idx="268">
                    <c:v>7.4358498677611299E-3</c:v>
                  </c:pt>
                  <c:pt idx="269">
                    <c:v>1.7739506438374499E-2</c:v>
                  </c:pt>
                  <c:pt idx="270">
                    <c:v>4.2684122920036302E-2</c:v>
                  </c:pt>
                  <c:pt idx="271">
                    <c:v>3.4261147957295101E-3</c:v>
                  </c:pt>
                  <c:pt idx="272">
                    <c:v>1.03261722251772E-2</c:v>
                  </c:pt>
                  <c:pt idx="273">
                    <c:v>2.81469579786062E-2</c:v>
                  </c:pt>
                  <c:pt idx="274">
                    <c:v>2.06320695579051E-2</c:v>
                  </c:pt>
                  <c:pt idx="275">
                    <c:v>4.40690778195858E-2</c:v>
                  </c:pt>
                  <c:pt idx="276">
                    <c:v>1.56198926270008E-2</c:v>
                  </c:pt>
                  <c:pt idx="277">
                    <c:v>2.5726784020662301E-2</c:v>
                  </c:pt>
                  <c:pt idx="278">
                    <c:v>4.2057768441736698E-3</c:v>
                  </c:pt>
                  <c:pt idx="279">
                    <c:v>3.2945327460765797E-2</c:v>
                  </c:pt>
                </c:numCache>
              </c:numRef>
            </c:plus>
            <c:minus>
              <c:numRef>
                <c:f>'Paul dataset'!$AK$2:$AK$281</c:f>
                <c:numCache>
                  <c:formatCode>General</c:formatCode>
                  <c:ptCount val="280"/>
                  <c:pt idx="0">
                    <c:v>9.1457795351743698E-3</c:v>
                  </c:pt>
                  <c:pt idx="1">
                    <c:v>2.1579984575510001E-2</c:v>
                  </c:pt>
                  <c:pt idx="2">
                    <c:v>6.0240556485950903E-3</c:v>
                  </c:pt>
                  <c:pt idx="3">
                    <c:v>9.5462193712592108E-3</c:v>
                  </c:pt>
                  <c:pt idx="4">
                    <c:v>9.2136533930897695E-3</c:v>
                  </c:pt>
                  <c:pt idx="5">
                    <c:v>1.6740679740905699E-2</c:v>
                  </c:pt>
                  <c:pt idx="6">
                    <c:v>3.8206215947866398E-2</c:v>
                  </c:pt>
                  <c:pt idx="7">
                    <c:v>1.8503939732909199E-2</c:v>
                  </c:pt>
                  <c:pt idx="8">
                    <c:v>8.6544165387749603E-3</c:v>
                  </c:pt>
                  <c:pt idx="9">
                    <c:v>7.2541111148893798E-3</c:v>
                  </c:pt>
                  <c:pt idx="10">
                    <c:v>9.2185800895094802E-3</c:v>
                  </c:pt>
                  <c:pt idx="11">
                    <c:v>7.91910570114851E-3</c:v>
                  </c:pt>
                  <c:pt idx="12">
                    <c:v>1.5543176792561999E-2</c:v>
                  </c:pt>
                  <c:pt idx="13">
                    <c:v>1.0659004561603E-2</c:v>
                  </c:pt>
                  <c:pt idx="14">
                    <c:v>1.8203554674983E-2</c:v>
                  </c:pt>
                  <c:pt idx="15">
                    <c:v>1.23389074578881E-2</c:v>
                  </c:pt>
                  <c:pt idx="16">
                    <c:v>1.7535263672471001E-2</c:v>
                  </c:pt>
                  <c:pt idx="17">
                    <c:v>2.4364395067095701E-2</c:v>
                  </c:pt>
                  <c:pt idx="18">
                    <c:v>2.4445518851280199E-2</c:v>
                  </c:pt>
                  <c:pt idx="19">
                    <c:v>2.1348116919398301E-2</c:v>
                  </c:pt>
                  <c:pt idx="20">
                    <c:v>2.2476838901638901E-2</c:v>
                  </c:pt>
                  <c:pt idx="21">
                    <c:v>2.1271973848342798E-2</c:v>
                  </c:pt>
                  <c:pt idx="22">
                    <c:v>1.1332160793244801E-2</c:v>
                  </c:pt>
                  <c:pt idx="23">
                    <c:v>1.9963832572102502E-2</c:v>
                  </c:pt>
                  <c:pt idx="24">
                    <c:v>1.3506894931197101E-2</c:v>
                  </c:pt>
                  <c:pt idx="25">
                    <c:v>2.18190271407365E-2</c:v>
                  </c:pt>
                  <c:pt idx="26">
                    <c:v>2.3525500670075399E-2</c:v>
                  </c:pt>
                  <c:pt idx="27">
                    <c:v>3.3066678792238201E-2</c:v>
                  </c:pt>
                  <c:pt idx="28">
                    <c:v>9.8265474662184698E-3</c:v>
                  </c:pt>
                  <c:pt idx="29">
                    <c:v>1.39236329123377E-2</c:v>
                  </c:pt>
                  <c:pt idx="30">
                    <c:v>9.9677974358200992E-3</c:v>
                  </c:pt>
                  <c:pt idx="31">
                    <c:v>1.1013912968337499E-2</c:v>
                  </c:pt>
                  <c:pt idx="32">
                    <c:v>7.1802888996899102E-3</c:v>
                  </c:pt>
                  <c:pt idx="33">
                    <c:v>1.7270479351282099E-2</c:v>
                  </c:pt>
                  <c:pt idx="34">
                    <c:v>6.7639066837727998E-3</c:v>
                  </c:pt>
                  <c:pt idx="35">
                    <c:v>6.32170354947447E-3</c:v>
                  </c:pt>
                  <c:pt idx="36">
                    <c:v>4.7067073173820903E-3</c:v>
                  </c:pt>
                  <c:pt idx="37">
                    <c:v>2.5697553530335399E-2</c:v>
                  </c:pt>
                  <c:pt idx="38">
                    <c:v>5.5186673998832703E-3</c:v>
                  </c:pt>
                  <c:pt idx="39">
                    <c:v>1.9765924662351601E-2</c:v>
                  </c:pt>
                  <c:pt idx="40">
                    <c:v>1.0633027181029301E-2</c:v>
                  </c:pt>
                  <c:pt idx="41">
                    <c:v>1.9357206299901002E-2</c:v>
                  </c:pt>
                  <c:pt idx="42">
                    <c:v>1.1332557536661601E-2</c:v>
                  </c:pt>
                  <c:pt idx="43">
                    <c:v>8.84805060923099E-3</c:v>
                  </c:pt>
                  <c:pt idx="44">
                    <c:v>1.7561396583914701E-2</c:v>
                  </c:pt>
                  <c:pt idx="45">
                    <c:v>2.2418580483645201E-3</c:v>
                  </c:pt>
                  <c:pt idx="46">
                    <c:v>1.4908999204635599E-2</c:v>
                  </c:pt>
                  <c:pt idx="47">
                    <c:v>1.8329473212361301E-2</c:v>
                  </c:pt>
                  <c:pt idx="48">
                    <c:v>1.7926238477229999E-2</c:v>
                  </c:pt>
                  <c:pt idx="49">
                    <c:v>2.5230042636394501E-2</c:v>
                  </c:pt>
                  <c:pt idx="50">
                    <c:v>1.2399621307849801E-2</c:v>
                  </c:pt>
                  <c:pt idx="51">
                    <c:v>1.9935999065637498E-2</c:v>
                  </c:pt>
                  <c:pt idx="52">
                    <c:v>2.2210901603102601E-2</c:v>
                  </c:pt>
                  <c:pt idx="53">
                    <c:v>1.47570045664906E-2</c:v>
                  </c:pt>
                  <c:pt idx="54">
                    <c:v>4.9478197470307298E-3</c:v>
                  </c:pt>
                  <c:pt idx="55">
                    <c:v>1.04042552411556E-2</c:v>
                  </c:pt>
                  <c:pt idx="56">
                    <c:v>7.9725226387381502E-3</c:v>
                  </c:pt>
                  <c:pt idx="57">
                    <c:v>9.6001662313938106E-3</c:v>
                  </c:pt>
                  <c:pt idx="58">
                    <c:v>8.6184628307819297E-3</c:v>
                  </c:pt>
                  <c:pt idx="59">
                    <c:v>4.9876449629664404E-3</c:v>
                  </c:pt>
                  <c:pt idx="60">
                    <c:v>7.4545694515109001E-3</c:v>
                  </c:pt>
                  <c:pt idx="61">
                    <c:v>7.5227543711662197E-3</c:v>
                  </c:pt>
                  <c:pt idx="62">
                    <c:v>1.8519122153520501E-2</c:v>
                  </c:pt>
                  <c:pt idx="63">
                    <c:v>2.5386316701769801E-2</c:v>
                  </c:pt>
                  <c:pt idx="64">
                    <c:v>2.9142165556550002E-2</c:v>
                  </c:pt>
                  <c:pt idx="65">
                    <c:v>2.5865076109766901E-2</c:v>
                  </c:pt>
                  <c:pt idx="66">
                    <c:v>4.1615855880081602E-3</c:v>
                  </c:pt>
                  <c:pt idx="67">
                    <c:v>1.31313689053058E-2</c:v>
                  </c:pt>
                  <c:pt idx="68">
                    <c:v>1.13771837204694E-2</c:v>
                  </c:pt>
                  <c:pt idx="69">
                    <c:v>9.3998890370130504E-3</c:v>
                  </c:pt>
                  <c:pt idx="70">
                    <c:v>6.0967910103499803E-3</c:v>
                  </c:pt>
                  <c:pt idx="71">
                    <c:v>3.3207393717020698E-3</c:v>
                  </c:pt>
                  <c:pt idx="72">
                    <c:v>2.99977185204625E-3</c:v>
                  </c:pt>
                  <c:pt idx="73">
                    <c:v>1.3967496342957001E-2</c:v>
                  </c:pt>
                  <c:pt idx="74">
                    <c:v>6.6223652102053096E-3</c:v>
                  </c:pt>
                  <c:pt idx="75">
                    <c:v>1.2283219955861501E-2</c:v>
                  </c:pt>
                  <c:pt idx="76">
                    <c:v>1.3303679414093401E-2</c:v>
                  </c:pt>
                  <c:pt idx="77">
                    <c:v>1.00059434771537E-2</c:v>
                  </c:pt>
                  <c:pt idx="78">
                    <c:v>2.2259375546127501E-3</c:v>
                  </c:pt>
                  <c:pt idx="79">
                    <c:v>3.1784742604941099E-3</c:v>
                  </c:pt>
                  <c:pt idx="80">
                    <c:v>7.3074544779956297E-3</c:v>
                  </c:pt>
                  <c:pt idx="81">
                    <c:v>1.1243022978305799E-2</c:v>
                  </c:pt>
                  <c:pt idx="82">
                    <c:v>7.6253423467278402E-3</c:v>
                  </c:pt>
                  <c:pt idx="83">
                    <c:v>7.9741422086954099E-3</c:v>
                  </c:pt>
                  <c:pt idx="84">
                    <c:v>4.40231673419475E-2</c:v>
                  </c:pt>
                  <c:pt idx="85">
                    <c:v>1.24350823462009E-2</c:v>
                  </c:pt>
                  <c:pt idx="86">
                    <c:v>8.6925616487860593E-3</c:v>
                  </c:pt>
                  <c:pt idx="87">
                    <c:v>8.99915304034948E-3</c:v>
                  </c:pt>
                  <c:pt idx="88">
                    <c:v>1.8202835693955401E-2</c:v>
                  </c:pt>
                  <c:pt idx="89">
                    <c:v>8.1574944779276796E-3</c:v>
                  </c:pt>
                  <c:pt idx="90">
                    <c:v>1.1777279898524199E-2</c:v>
                  </c:pt>
                  <c:pt idx="91">
                    <c:v>1.6222396865487099E-2</c:v>
                  </c:pt>
                  <c:pt idx="92">
                    <c:v>3.2418757677078198E-2</c:v>
                  </c:pt>
                  <c:pt idx="93">
                    <c:v>3.7322510033845901E-2</c:v>
                  </c:pt>
                  <c:pt idx="94">
                    <c:v>7.0397299714386402E-3</c:v>
                  </c:pt>
                  <c:pt idx="95">
                    <c:v>5.8576613664626997E-3</c:v>
                  </c:pt>
                  <c:pt idx="96">
                    <c:v>6.7089335061609702E-3</c:v>
                  </c:pt>
                  <c:pt idx="97">
                    <c:v>1.1252652853727301E-2</c:v>
                  </c:pt>
                  <c:pt idx="98">
                    <c:v>1.2393782846629601E-2</c:v>
                  </c:pt>
                  <c:pt idx="99">
                    <c:v>4.2808195576071696E-3</c:v>
                  </c:pt>
                  <c:pt idx="100">
                    <c:v>1.6760649159550601E-2</c:v>
                  </c:pt>
                  <c:pt idx="101">
                    <c:v>2.1529145538806901E-2</c:v>
                  </c:pt>
                  <c:pt idx="102">
                    <c:v>1.5819037333130798E-2</c:v>
                  </c:pt>
                  <c:pt idx="103">
                    <c:v>1.9102811813354399E-2</c:v>
                  </c:pt>
                  <c:pt idx="104">
                    <c:v>2.7780460193753201E-2</c:v>
                  </c:pt>
                  <c:pt idx="105">
                    <c:v>6.7642242647707402E-3</c:v>
                  </c:pt>
                  <c:pt idx="106">
                    <c:v>3.1164824962615901E-2</c:v>
                  </c:pt>
                  <c:pt idx="107">
                    <c:v>1.34510705247521E-2</c:v>
                  </c:pt>
                  <c:pt idx="108">
                    <c:v>1.84354018419981E-2</c:v>
                  </c:pt>
                  <c:pt idx="109">
                    <c:v>6.3312537968158696E-3</c:v>
                  </c:pt>
                  <c:pt idx="110">
                    <c:v>2.14179269969463E-2</c:v>
                  </c:pt>
                  <c:pt idx="111">
                    <c:v>5.7231788523495197E-3</c:v>
                  </c:pt>
                  <c:pt idx="112">
                    <c:v>2.5695160031318599E-2</c:v>
                  </c:pt>
                  <c:pt idx="113">
                    <c:v>1.9612839445471701E-2</c:v>
                  </c:pt>
                  <c:pt idx="114">
                    <c:v>1.0648323222994799E-2</c:v>
                  </c:pt>
                  <c:pt idx="115">
                    <c:v>6.30595488473773E-3</c:v>
                  </c:pt>
                  <c:pt idx="116">
                    <c:v>9.3655409291386604E-3</c:v>
                  </c:pt>
                  <c:pt idx="117">
                    <c:v>1.35210249572992E-2</c:v>
                  </c:pt>
                  <c:pt idx="118">
                    <c:v>1.5858782455325099E-2</c:v>
                  </c:pt>
                  <c:pt idx="119">
                    <c:v>2.0807769149541799E-2</c:v>
                  </c:pt>
                  <c:pt idx="120">
                    <c:v>1.85886258259415E-3</c:v>
                  </c:pt>
                  <c:pt idx="121">
                    <c:v>1.40892695635557E-2</c:v>
                  </c:pt>
                  <c:pt idx="122">
                    <c:v>5.8822664432227603E-3</c:v>
                  </c:pt>
                  <c:pt idx="123">
                    <c:v>2.03577540814876E-2</c:v>
                  </c:pt>
                  <c:pt idx="124">
                    <c:v>7.0455698296427701E-3</c:v>
                  </c:pt>
                  <c:pt idx="125">
                    <c:v>4.2017442174255796E-3</c:v>
                  </c:pt>
                  <c:pt idx="126">
                    <c:v>7.3247519321739604E-3</c:v>
                  </c:pt>
                  <c:pt idx="127">
                    <c:v>6.6712005063891402E-3</c:v>
                  </c:pt>
                  <c:pt idx="128">
                    <c:v>7.8929075971245696E-3</c:v>
                  </c:pt>
                  <c:pt idx="129">
                    <c:v>1.27990683540701E-2</c:v>
                  </c:pt>
                  <c:pt idx="130">
                    <c:v>2.1544598042964901E-2</c:v>
                  </c:pt>
                  <c:pt idx="131">
                    <c:v>2.42276899516582E-2</c:v>
                  </c:pt>
                  <c:pt idx="132">
                    <c:v>1.7772853374481201E-2</c:v>
                  </c:pt>
                  <c:pt idx="133">
                    <c:v>1.5345871448516801E-2</c:v>
                  </c:pt>
                  <c:pt idx="134">
                    <c:v>1.6899844631552599E-2</c:v>
                  </c:pt>
                  <c:pt idx="135">
                    <c:v>2.8091860935091899E-2</c:v>
                  </c:pt>
                  <c:pt idx="136">
                    <c:v>2.20793616026639E-2</c:v>
                  </c:pt>
                  <c:pt idx="137">
                    <c:v>1.6912821680307302E-2</c:v>
                  </c:pt>
                  <c:pt idx="138">
                    <c:v>1.8025280907750098E-2</c:v>
                  </c:pt>
                  <c:pt idx="139">
                    <c:v>9.9744647741317697E-3</c:v>
                  </c:pt>
                  <c:pt idx="140">
                    <c:v>1.9168877974152499E-2</c:v>
                  </c:pt>
                  <c:pt idx="141">
                    <c:v>1.2354062870144801E-2</c:v>
                  </c:pt>
                  <c:pt idx="142">
                    <c:v>1.5494897961616501E-2</c:v>
                  </c:pt>
                  <c:pt idx="143">
                    <c:v>1.10781025141477E-2</c:v>
                  </c:pt>
                  <c:pt idx="144">
                    <c:v>8.8244332000613195E-3</c:v>
                  </c:pt>
                  <c:pt idx="145">
                    <c:v>1.25161558389663E-2</c:v>
                  </c:pt>
                  <c:pt idx="146">
                    <c:v>1.00324191153049E-2</c:v>
                  </c:pt>
                  <c:pt idx="147">
                    <c:v>5.5607398971915202E-3</c:v>
                  </c:pt>
                  <c:pt idx="148">
                    <c:v>1.42404828220605E-2</c:v>
                  </c:pt>
                  <c:pt idx="149">
                    <c:v>5.4934043437242499E-3</c:v>
                  </c:pt>
                  <c:pt idx="150">
                    <c:v>1.5719240531325299E-2</c:v>
                  </c:pt>
                  <c:pt idx="151">
                    <c:v>2.7875760570168402E-2</c:v>
                  </c:pt>
                  <c:pt idx="152">
                    <c:v>4.9939490854740099E-3</c:v>
                  </c:pt>
                  <c:pt idx="153">
                    <c:v>9.9518988281488401E-3</c:v>
                  </c:pt>
                  <c:pt idx="154">
                    <c:v>9.4409044831991196E-3</c:v>
                  </c:pt>
                  <c:pt idx="155">
                    <c:v>7.6796915382146801E-3</c:v>
                  </c:pt>
                  <c:pt idx="156">
                    <c:v>2.8910603374242699E-2</c:v>
                  </c:pt>
                  <c:pt idx="157">
                    <c:v>6.4996005967259398E-3</c:v>
                  </c:pt>
                  <c:pt idx="158">
                    <c:v>7.9142628237605095E-3</c:v>
                  </c:pt>
                  <c:pt idx="159">
                    <c:v>7.75194447487592E-3</c:v>
                  </c:pt>
                  <c:pt idx="160">
                    <c:v>1.91383541096001E-3</c:v>
                  </c:pt>
                  <c:pt idx="161">
                    <c:v>1.12574081867933E-2</c:v>
                  </c:pt>
                  <c:pt idx="162">
                    <c:v>1.6997151076793601E-2</c:v>
                  </c:pt>
                  <c:pt idx="163">
                    <c:v>2.2065822035074199E-2</c:v>
                  </c:pt>
                  <c:pt idx="164">
                    <c:v>2.5067776441574E-2</c:v>
                  </c:pt>
                  <c:pt idx="165">
                    <c:v>7.09874555468559E-3</c:v>
                  </c:pt>
                  <c:pt idx="166">
                    <c:v>5.3910370916128098E-3</c:v>
                  </c:pt>
                  <c:pt idx="167">
                    <c:v>1.8962755799293501E-2</c:v>
                  </c:pt>
                  <c:pt idx="168">
                    <c:v>9.7328051924705505E-3</c:v>
                  </c:pt>
                  <c:pt idx="169">
                    <c:v>9.7238644957542402E-3</c:v>
                  </c:pt>
                  <c:pt idx="170">
                    <c:v>1.21511071920394E-2</c:v>
                  </c:pt>
                  <c:pt idx="171">
                    <c:v>1.6200393438339199E-2</c:v>
                  </c:pt>
                  <c:pt idx="172">
                    <c:v>1.9133720546960799E-2</c:v>
                  </c:pt>
                  <c:pt idx="173">
                    <c:v>1.46695151925086E-2</c:v>
                  </c:pt>
                  <c:pt idx="174">
                    <c:v>2.2892773151397702E-2</c:v>
                  </c:pt>
                  <c:pt idx="175">
                    <c:v>2.5725010782480202E-2</c:v>
                  </c:pt>
                  <c:pt idx="176">
                    <c:v>1.44053027033805E-2</c:v>
                  </c:pt>
                  <c:pt idx="177">
                    <c:v>1.37584852054715E-2</c:v>
                  </c:pt>
                  <c:pt idx="178">
                    <c:v>1.34340999647974E-2</c:v>
                  </c:pt>
                  <c:pt idx="179">
                    <c:v>1.94806531071662E-2</c:v>
                  </c:pt>
                  <c:pt idx="180">
                    <c:v>1.46808819845318E-2</c:v>
                  </c:pt>
                  <c:pt idx="181">
                    <c:v>1.7587726935744199E-2</c:v>
                  </c:pt>
                  <c:pt idx="182">
                    <c:v>2.3491962347179599E-3</c:v>
                  </c:pt>
                  <c:pt idx="183">
                    <c:v>7.9916846007108602E-3</c:v>
                  </c:pt>
                  <c:pt idx="184">
                    <c:v>9.1141657903790405E-3</c:v>
                  </c:pt>
                  <c:pt idx="185">
                    <c:v>4.6349251642823202E-3</c:v>
                  </c:pt>
                  <c:pt idx="186">
                    <c:v>6.2628458254039201E-3</c:v>
                  </c:pt>
                  <c:pt idx="187">
                    <c:v>1.69485006481409E-2</c:v>
                  </c:pt>
                  <c:pt idx="188">
                    <c:v>2.9778057709336201E-2</c:v>
                  </c:pt>
                  <c:pt idx="189">
                    <c:v>5.9593748301267598E-3</c:v>
                  </c:pt>
                  <c:pt idx="190">
                    <c:v>4.0242350660264397E-3</c:v>
                  </c:pt>
                  <c:pt idx="191">
                    <c:v>8.3710951730608905E-3</c:v>
                  </c:pt>
                  <c:pt idx="192">
                    <c:v>9.0418756008148193E-3</c:v>
                  </c:pt>
                  <c:pt idx="193">
                    <c:v>2.8900874312967001E-3</c:v>
                  </c:pt>
                  <c:pt idx="194">
                    <c:v>1.7290787771344102E-2</c:v>
                  </c:pt>
                  <c:pt idx="195">
                    <c:v>5.6484458036720701E-3</c:v>
                  </c:pt>
                  <c:pt idx="196">
                    <c:v>1.7247477546334201E-2</c:v>
                  </c:pt>
                  <c:pt idx="197">
                    <c:v>1.47590450942516E-2</c:v>
                  </c:pt>
                  <c:pt idx="198">
                    <c:v>2.4184819310903501E-2</c:v>
                  </c:pt>
                  <c:pt idx="199">
                    <c:v>2.0527862012386301E-2</c:v>
                  </c:pt>
                  <c:pt idx="200">
                    <c:v>1.35878892615437E-2</c:v>
                  </c:pt>
                  <c:pt idx="201">
                    <c:v>1.2937629595398899E-2</c:v>
                  </c:pt>
                  <c:pt idx="202">
                    <c:v>2.5110505521297399E-2</c:v>
                  </c:pt>
                  <c:pt idx="203">
                    <c:v>1.8020326271653099E-2</c:v>
                  </c:pt>
                  <c:pt idx="204">
                    <c:v>2.8249757364392201E-2</c:v>
                  </c:pt>
                  <c:pt idx="205">
                    <c:v>1.3534259051084499E-2</c:v>
                  </c:pt>
                  <c:pt idx="206">
                    <c:v>2.3902758955955498E-2</c:v>
                  </c:pt>
                  <c:pt idx="207">
                    <c:v>1.1460612528026101E-2</c:v>
                  </c:pt>
                  <c:pt idx="208">
                    <c:v>1.1959120631217899E-2</c:v>
                  </c:pt>
                  <c:pt idx="209">
                    <c:v>1.2865878641605299E-2</c:v>
                  </c:pt>
                  <c:pt idx="210">
                    <c:v>8.3555886521935394E-3</c:v>
                  </c:pt>
                  <c:pt idx="211">
                    <c:v>9.8691564053297008E-3</c:v>
                  </c:pt>
                  <c:pt idx="212">
                    <c:v>5.29063725844025E-3</c:v>
                  </c:pt>
                  <c:pt idx="213">
                    <c:v>2.4768413975834801E-2</c:v>
                  </c:pt>
                  <c:pt idx="214">
                    <c:v>1.45689425989985E-2</c:v>
                  </c:pt>
                  <c:pt idx="215">
                    <c:v>1.8824724480509699E-2</c:v>
                  </c:pt>
                  <c:pt idx="216">
                    <c:v>9.3436604365706392E-3</c:v>
                  </c:pt>
                  <c:pt idx="217">
                    <c:v>2.8754180297255499E-2</c:v>
                  </c:pt>
                  <c:pt idx="218">
                    <c:v>2.6124730706214901E-2</c:v>
                  </c:pt>
                  <c:pt idx="219">
                    <c:v>6.5479376353323399E-3</c:v>
                  </c:pt>
                  <c:pt idx="220">
                    <c:v>9.0088685974478704E-3</c:v>
                  </c:pt>
                  <c:pt idx="221">
                    <c:v>5.8946693316102002E-3</c:v>
                  </c:pt>
                  <c:pt idx="222">
                    <c:v>3.8680907338857602E-2</c:v>
                  </c:pt>
                  <c:pt idx="223">
                    <c:v>5.7880007661879002E-3</c:v>
                  </c:pt>
                  <c:pt idx="224">
                    <c:v>1.9896109588444198E-3</c:v>
                  </c:pt>
                  <c:pt idx="225">
                    <c:v>6.4208707772195296E-3</c:v>
                  </c:pt>
                  <c:pt idx="226">
                    <c:v>2.36894208937883E-2</c:v>
                  </c:pt>
                  <c:pt idx="227">
                    <c:v>2.4921573698520601E-2</c:v>
                  </c:pt>
                  <c:pt idx="228">
                    <c:v>9.1524748131632805E-3</c:v>
                  </c:pt>
                  <c:pt idx="229">
                    <c:v>1.7915660515427499E-2</c:v>
                  </c:pt>
                  <c:pt idx="230">
                    <c:v>1.6265660524368199E-2</c:v>
                  </c:pt>
                  <c:pt idx="231">
                    <c:v>7.73594947531819E-3</c:v>
                  </c:pt>
                  <c:pt idx="232">
                    <c:v>1.38072408735752E-2</c:v>
                  </c:pt>
                  <c:pt idx="233">
                    <c:v>4.6592056751251203E-3</c:v>
                  </c:pt>
                  <c:pt idx="234">
                    <c:v>1.3951024971902299E-2</c:v>
                  </c:pt>
                  <c:pt idx="235">
                    <c:v>2.1982606500387102E-2</c:v>
                  </c:pt>
                  <c:pt idx="236">
                    <c:v>1.6157865524291899E-2</c:v>
                  </c:pt>
                  <c:pt idx="237">
                    <c:v>9.9306143820285797E-3</c:v>
                  </c:pt>
                  <c:pt idx="238">
                    <c:v>1.3907789252698401E-2</c:v>
                  </c:pt>
                  <c:pt idx="239">
                    <c:v>8.0493437126278808E-3</c:v>
                  </c:pt>
                  <c:pt idx="240">
                    <c:v>1.51712810620665E-2</c:v>
                  </c:pt>
                  <c:pt idx="241">
                    <c:v>1.53456721454858E-2</c:v>
                  </c:pt>
                  <c:pt idx="242">
                    <c:v>3.5913877189159303E-2</c:v>
                  </c:pt>
                  <c:pt idx="243">
                    <c:v>6.2786922790110103E-3</c:v>
                  </c:pt>
                  <c:pt idx="244">
                    <c:v>2.5554304942488601E-2</c:v>
                  </c:pt>
                  <c:pt idx="245">
                    <c:v>2.32502054423093E-2</c:v>
                  </c:pt>
                  <c:pt idx="246">
                    <c:v>1.7280047759413698E-2</c:v>
                  </c:pt>
                  <c:pt idx="247">
                    <c:v>3.1576659530401202E-2</c:v>
                  </c:pt>
                  <c:pt idx="248">
                    <c:v>1.85669604688882E-2</c:v>
                  </c:pt>
                  <c:pt idx="249">
                    <c:v>2.6499604806303902E-2</c:v>
                  </c:pt>
                  <c:pt idx="250">
                    <c:v>1.6611460596322999E-2</c:v>
                  </c:pt>
                  <c:pt idx="251">
                    <c:v>2.7679070830345098E-2</c:v>
                  </c:pt>
                  <c:pt idx="252">
                    <c:v>1.6171097755432101E-2</c:v>
                  </c:pt>
                  <c:pt idx="253">
                    <c:v>6.6799536347389193E-2</c:v>
                  </c:pt>
                  <c:pt idx="254">
                    <c:v>1.0152745991945201E-2</c:v>
                  </c:pt>
                  <c:pt idx="255">
                    <c:v>1.9746625795960399E-2</c:v>
                  </c:pt>
                  <c:pt idx="256">
                    <c:v>2.6422565802931699E-2</c:v>
                  </c:pt>
                  <c:pt idx="257">
                    <c:v>6.4408485777676097E-3</c:v>
                  </c:pt>
                  <c:pt idx="258">
                    <c:v>1.11012300476431E-2</c:v>
                  </c:pt>
                  <c:pt idx="259">
                    <c:v>1.39275370165705E-2</c:v>
                  </c:pt>
                  <c:pt idx="260">
                    <c:v>2.18995437026023E-2</c:v>
                  </c:pt>
                  <c:pt idx="261">
                    <c:v>1.42798731103539E-2</c:v>
                  </c:pt>
                  <c:pt idx="262">
                    <c:v>1.7715735360979999E-2</c:v>
                  </c:pt>
                  <c:pt idx="263">
                    <c:v>1.8732981756329498E-2</c:v>
                  </c:pt>
                  <c:pt idx="264">
                    <c:v>1.34820509701967E-2</c:v>
                  </c:pt>
                  <c:pt idx="265">
                    <c:v>2.94793359935283E-2</c:v>
                  </c:pt>
                  <c:pt idx="266">
                    <c:v>4.3006770312786102E-2</c:v>
                  </c:pt>
                  <c:pt idx="267">
                    <c:v>2.5779257994145099E-3</c:v>
                  </c:pt>
                  <c:pt idx="268">
                    <c:v>7.4358498677611299E-3</c:v>
                  </c:pt>
                  <c:pt idx="269">
                    <c:v>1.7739506438374499E-2</c:v>
                  </c:pt>
                  <c:pt idx="270">
                    <c:v>4.2684122920036302E-2</c:v>
                  </c:pt>
                  <c:pt idx="271">
                    <c:v>3.4261147957295101E-3</c:v>
                  </c:pt>
                  <c:pt idx="272">
                    <c:v>1.03261722251772E-2</c:v>
                  </c:pt>
                  <c:pt idx="273">
                    <c:v>2.81469579786062E-2</c:v>
                  </c:pt>
                  <c:pt idx="274">
                    <c:v>2.06320695579051E-2</c:v>
                  </c:pt>
                  <c:pt idx="275">
                    <c:v>4.40690778195858E-2</c:v>
                  </c:pt>
                  <c:pt idx="276">
                    <c:v>1.56198926270008E-2</c:v>
                  </c:pt>
                  <c:pt idx="277">
                    <c:v>2.5726784020662301E-2</c:v>
                  </c:pt>
                  <c:pt idx="278">
                    <c:v>4.2057768441736698E-3</c:v>
                  </c:pt>
                  <c:pt idx="279">
                    <c:v>3.2945327460765797E-2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1"/>
            <c:plus>
              <c:numRef>
                <c:f>'Paul dataset'!$AE$2:$AE$281</c:f>
                <c:numCache>
                  <c:formatCode>General</c:formatCode>
                  <c:ptCount val="280"/>
                  <c:pt idx="0">
                    <c:v>1.294272130234661E-2</c:v>
                  </c:pt>
                  <c:pt idx="1">
                    <c:v>0.13564968058771079</c:v>
                  </c:pt>
                  <c:pt idx="2">
                    <c:v>2.036184534790964E-3</c:v>
                  </c:pt>
                  <c:pt idx="3">
                    <c:v>2.5993188017183928E-2</c:v>
                  </c:pt>
                  <c:pt idx="4">
                    <c:v>7.9847201489404197E-3</c:v>
                  </c:pt>
                  <c:pt idx="5">
                    <c:v>8.3358417933041972E-4</c:v>
                  </c:pt>
                  <c:pt idx="6">
                    <c:v>7.450924975955997E-2</c:v>
                  </c:pt>
                  <c:pt idx="7">
                    <c:v>9.9051471933741999E-3</c:v>
                  </c:pt>
                  <c:pt idx="8">
                    <c:v>1.279854830003236E-2</c:v>
                  </c:pt>
                  <c:pt idx="9">
                    <c:v>7.6625200412675551E-2</c:v>
                  </c:pt>
                  <c:pt idx="10">
                    <c:v>2.0821699580131181E-3</c:v>
                  </c:pt>
                  <c:pt idx="11">
                    <c:v>2.6038343250464141E-2</c:v>
                  </c:pt>
                  <c:pt idx="12">
                    <c:v>4.4452682561833979E-3</c:v>
                  </c:pt>
                  <c:pt idx="13">
                    <c:v>7.2754748017715212E-3</c:v>
                  </c:pt>
                  <c:pt idx="14">
                    <c:v>7.7279653570898983E-3</c:v>
                  </c:pt>
                  <c:pt idx="15">
                    <c:v>9.8694181004846913E-3</c:v>
                  </c:pt>
                  <c:pt idx="16">
                    <c:v>8.8868664621583552E-3</c:v>
                  </c:pt>
                  <c:pt idx="17">
                    <c:v>2.356014299132036E-3</c:v>
                  </c:pt>
                  <c:pt idx="18">
                    <c:v>1.996712324977687E-3</c:v>
                  </c:pt>
                  <c:pt idx="19">
                    <c:v>8.2142811712026149E-3</c:v>
                  </c:pt>
                  <c:pt idx="20">
                    <c:v>5.8936630547841134E-3</c:v>
                  </c:pt>
                  <c:pt idx="21">
                    <c:v>1.5457630803294761E-2</c:v>
                  </c:pt>
                  <c:pt idx="22">
                    <c:v>1.545054726564961E-2</c:v>
                  </c:pt>
                  <c:pt idx="23">
                    <c:v>0.1095793548520949</c:v>
                  </c:pt>
                  <c:pt idx="24">
                    <c:v>1.5412690854560329E-3</c:v>
                  </c:pt>
                  <c:pt idx="25">
                    <c:v>8.3843310799998863E-2</c:v>
                  </c:pt>
                  <c:pt idx="26">
                    <c:v>9.9003637157663894E-3</c:v>
                  </c:pt>
                  <c:pt idx="27">
                    <c:v>1.6483084154857709E-2</c:v>
                  </c:pt>
                  <c:pt idx="28">
                    <c:v>1.0982166216606699E-2</c:v>
                  </c:pt>
                  <c:pt idx="29">
                    <c:v>2.6390732279320581E-2</c:v>
                  </c:pt>
                  <c:pt idx="30">
                    <c:v>1.4773616102523609E-2</c:v>
                  </c:pt>
                  <c:pt idx="31">
                    <c:v>4.8683894411408824E-3</c:v>
                  </c:pt>
                  <c:pt idx="32">
                    <c:v>2.527678793962157E-2</c:v>
                  </c:pt>
                  <c:pt idx="33">
                    <c:v>8.5253542053357802E-3</c:v>
                  </c:pt>
                  <c:pt idx="34">
                    <c:v>4.4276436015314749E-4</c:v>
                  </c:pt>
                  <c:pt idx="35">
                    <c:v>2.217291393649267E-3</c:v>
                  </c:pt>
                  <c:pt idx="36">
                    <c:v>1.30730254302091E-2</c:v>
                  </c:pt>
                  <c:pt idx="37">
                    <c:v>1.025669759223596E-2</c:v>
                  </c:pt>
                  <c:pt idx="38">
                    <c:v>5.0689870632973427E-3</c:v>
                  </c:pt>
                  <c:pt idx="39">
                    <c:v>7.9816260917613055E-2</c:v>
                  </c:pt>
                  <c:pt idx="40">
                    <c:v>1.0012592683189109E-3</c:v>
                  </c:pt>
                  <c:pt idx="41">
                    <c:v>5.5996708174201491E-3</c:v>
                  </c:pt>
                  <c:pt idx="42">
                    <c:v>2.7564668502500549E-2</c:v>
                  </c:pt>
                  <c:pt idx="43">
                    <c:v>3.5037783085195069E-2</c:v>
                  </c:pt>
                  <c:pt idx="44">
                    <c:v>1.3959576260723741E-2</c:v>
                  </c:pt>
                  <c:pt idx="45">
                    <c:v>2.1071891910074959E-2</c:v>
                  </c:pt>
                  <c:pt idx="46">
                    <c:v>7.200705410837587E-3</c:v>
                  </c:pt>
                  <c:pt idx="47">
                    <c:v>3.675476643343879E-3</c:v>
                  </c:pt>
                  <c:pt idx="48">
                    <c:v>2.4140816560313309E-2</c:v>
                  </c:pt>
                  <c:pt idx="49">
                    <c:v>1.239287752952432E-2</c:v>
                  </c:pt>
                  <c:pt idx="50">
                    <c:v>1.6749806865949901E-2</c:v>
                  </c:pt>
                  <c:pt idx="51">
                    <c:v>7.4351753328947808E-3</c:v>
                  </c:pt>
                  <c:pt idx="52">
                    <c:v>5.6348969423995711E-3</c:v>
                  </c:pt>
                  <c:pt idx="53">
                    <c:v>1.7024806801462612E-2</c:v>
                  </c:pt>
                  <c:pt idx="54">
                    <c:v>1.4426317800383099E-2</c:v>
                  </c:pt>
                  <c:pt idx="55">
                    <c:v>7.9230982780971338E-3</c:v>
                  </c:pt>
                  <c:pt idx="56">
                    <c:v>4.8842084080157992E-3</c:v>
                  </c:pt>
                  <c:pt idx="57">
                    <c:v>4.5110369876273987E-3</c:v>
                  </c:pt>
                  <c:pt idx="58">
                    <c:v>4.6622578129600313E-3</c:v>
                  </c:pt>
                  <c:pt idx="59">
                    <c:v>5.7174241468143519E-3</c:v>
                  </c:pt>
                  <c:pt idx="60">
                    <c:v>1.268026751280985E-2</c:v>
                  </c:pt>
                  <c:pt idx="61">
                    <c:v>2.2807897106579222E-2</c:v>
                  </c:pt>
                  <c:pt idx="62">
                    <c:v>6.6612852950861407E-3</c:v>
                  </c:pt>
                  <c:pt idx="63">
                    <c:v>4.6090906849450084E-3</c:v>
                  </c:pt>
                  <c:pt idx="64">
                    <c:v>0.13465811620461449</c:v>
                  </c:pt>
                  <c:pt idx="65">
                    <c:v>3.428724596226021E-2</c:v>
                  </c:pt>
                  <c:pt idx="66">
                    <c:v>1.082459485920721E-2</c:v>
                  </c:pt>
                  <c:pt idx="67">
                    <c:v>1.0309744026150799E-2</c:v>
                  </c:pt>
                  <c:pt idx="68">
                    <c:v>1.8647182097790319E-2</c:v>
                  </c:pt>
                  <c:pt idx="69">
                    <c:v>2.2908287225334941E-2</c:v>
                  </c:pt>
                  <c:pt idx="70">
                    <c:v>3.9700339843523362E-3</c:v>
                  </c:pt>
                  <c:pt idx="71">
                    <c:v>8.8015052671100522E-3</c:v>
                  </c:pt>
                  <c:pt idx="72">
                    <c:v>5.8426504836833206E-4</c:v>
                  </c:pt>
                  <c:pt idx="73">
                    <c:v>3.4768403087800251E-3</c:v>
                  </c:pt>
                  <c:pt idx="74">
                    <c:v>7.6645624894044516E-3</c:v>
                  </c:pt>
                  <c:pt idx="75">
                    <c:v>1.0539073370809121E-2</c:v>
                  </c:pt>
                  <c:pt idx="76">
                    <c:v>1.253065730196808E-3</c:v>
                  </c:pt>
                  <c:pt idx="77">
                    <c:v>7.9876469566824305E-3</c:v>
                  </c:pt>
                  <c:pt idx="78">
                    <c:v>1.3037028380568001E-3</c:v>
                  </c:pt>
                  <c:pt idx="79">
                    <c:v>2.5050274942234299E-3</c:v>
                  </c:pt>
                  <c:pt idx="80">
                    <c:v>5.4131337241158546E-3</c:v>
                  </c:pt>
                  <c:pt idx="81">
                    <c:v>1.0548028526300379E-2</c:v>
                  </c:pt>
                  <c:pt idx="82">
                    <c:v>8.3570130085490121E-3</c:v>
                  </c:pt>
                  <c:pt idx="83">
                    <c:v>1.0867550787295991E-2</c:v>
                  </c:pt>
                  <c:pt idx="84">
                    <c:v>6.1023433734117916E-3</c:v>
                  </c:pt>
                  <c:pt idx="85">
                    <c:v>1.0594244265274321E-3</c:v>
                  </c:pt>
                  <c:pt idx="86">
                    <c:v>1.861205107463319E-2</c:v>
                  </c:pt>
                  <c:pt idx="87">
                    <c:v>5.8191112966586144E-3</c:v>
                  </c:pt>
                  <c:pt idx="88">
                    <c:v>1.7191590218186718E-2</c:v>
                  </c:pt>
                  <c:pt idx="89">
                    <c:v>9.7612671309064123E-4</c:v>
                  </c:pt>
                  <c:pt idx="90">
                    <c:v>7.9913216928039314E-3</c:v>
                  </c:pt>
                  <c:pt idx="91">
                    <c:v>3.889109908174722E-3</c:v>
                  </c:pt>
                  <c:pt idx="92">
                    <c:v>7.5839128856669486E-3</c:v>
                  </c:pt>
                  <c:pt idx="93">
                    <c:v>1.2617656079738819E-3</c:v>
                  </c:pt>
                  <c:pt idx="94">
                    <c:v>1.14185235790685E-3</c:v>
                  </c:pt>
                  <c:pt idx="95">
                    <c:v>6.5188749716355073E-3</c:v>
                  </c:pt>
                  <c:pt idx="96">
                    <c:v>2.2318452511214939E-3</c:v>
                  </c:pt>
                  <c:pt idx="97">
                    <c:v>2.008972535661974E-2</c:v>
                  </c:pt>
                  <c:pt idx="98">
                    <c:v>3.1432604308156459E-3</c:v>
                  </c:pt>
                  <c:pt idx="99">
                    <c:v>2.0999593922924061E-2</c:v>
                  </c:pt>
                  <c:pt idx="100">
                    <c:v>4.8603070810243933E-3</c:v>
                  </c:pt>
                  <c:pt idx="101">
                    <c:v>2.1054633707947778E-3</c:v>
                  </c:pt>
                  <c:pt idx="102">
                    <c:v>7.7382065490691748E-3</c:v>
                  </c:pt>
                  <c:pt idx="103">
                    <c:v>4.3636082225206223E-3</c:v>
                  </c:pt>
                  <c:pt idx="104">
                    <c:v>2.997222992303717E-3</c:v>
                  </c:pt>
                  <c:pt idx="105">
                    <c:v>1.9966591062924839E-3</c:v>
                  </c:pt>
                  <c:pt idx="106">
                    <c:v>2.391403548404538E-2</c:v>
                  </c:pt>
                  <c:pt idx="107">
                    <c:v>1.5172200397242661E-3</c:v>
                  </c:pt>
                  <c:pt idx="108">
                    <c:v>1.43344168732317E-2</c:v>
                  </c:pt>
                  <c:pt idx="109">
                    <c:v>4.549722821809263E-3</c:v>
                  </c:pt>
                  <c:pt idx="110">
                    <c:v>4.9684040093986763E-3</c:v>
                  </c:pt>
                  <c:pt idx="111">
                    <c:v>4.6185748684066828E-3</c:v>
                  </c:pt>
                  <c:pt idx="112">
                    <c:v>3.5391291986445257E-2</c:v>
                  </c:pt>
                  <c:pt idx="113">
                    <c:v>5.1552723590308257E-3</c:v>
                  </c:pt>
                  <c:pt idx="114">
                    <c:v>3.8137878283688489E-2</c:v>
                  </c:pt>
                  <c:pt idx="115">
                    <c:v>2.6328187804412948E-3</c:v>
                  </c:pt>
                  <c:pt idx="116">
                    <c:v>1.8800045979499851E-2</c:v>
                  </c:pt>
                  <c:pt idx="117">
                    <c:v>5.6408252427047709E-2</c:v>
                  </c:pt>
                  <c:pt idx="118">
                    <c:v>7.5193766450612504E-3</c:v>
                  </c:pt>
                  <c:pt idx="119">
                    <c:v>1.9891376971380541E-2</c:v>
                  </c:pt>
                  <c:pt idx="120">
                    <c:v>3.478291588400436E-2</c:v>
                  </c:pt>
                  <c:pt idx="121">
                    <c:v>5.7141767520572082E-2</c:v>
                  </c:pt>
                  <c:pt idx="122">
                    <c:v>3.1540557466290318E-3</c:v>
                  </c:pt>
                  <c:pt idx="123">
                    <c:v>3.2886241146487961E-3</c:v>
                  </c:pt>
                  <c:pt idx="124">
                    <c:v>2.7955393491889912E-3</c:v>
                  </c:pt>
                  <c:pt idx="125">
                    <c:v>1.434613613419675E-2</c:v>
                  </c:pt>
                  <c:pt idx="126">
                    <c:v>4.7617102736222383E-3</c:v>
                  </c:pt>
                  <c:pt idx="127">
                    <c:v>1.00292724225162E-2</c:v>
                  </c:pt>
                  <c:pt idx="128">
                    <c:v>1.0959715520701369E-2</c:v>
                  </c:pt>
                  <c:pt idx="129">
                    <c:v>5.201109430586915E-2</c:v>
                  </c:pt>
                  <c:pt idx="130">
                    <c:v>1.596238906689508E-2</c:v>
                  </c:pt>
                  <c:pt idx="131">
                    <c:v>5.4052229013784444E-3</c:v>
                  </c:pt>
                  <c:pt idx="132">
                    <c:v>2.9600093819201059E-2</c:v>
                  </c:pt>
                  <c:pt idx="133">
                    <c:v>3.0703944482479682E-2</c:v>
                  </c:pt>
                  <c:pt idx="134">
                    <c:v>4.2843730899831567E-2</c:v>
                  </c:pt>
                  <c:pt idx="135">
                    <c:v>2.195615167210585E-2</c:v>
                  </c:pt>
                  <c:pt idx="136">
                    <c:v>1.2068605580688729E-2</c:v>
                  </c:pt>
                  <c:pt idx="137">
                    <c:v>6.8565330153830539E-2</c:v>
                  </c:pt>
                  <c:pt idx="138">
                    <c:v>1.9711639632541501E-2</c:v>
                  </c:pt>
                  <c:pt idx="139">
                    <c:v>1.5042595441486161E-2</c:v>
                  </c:pt>
                  <c:pt idx="140">
                    <c:v>2.280717791957405E-2</c:v>
                  </c:pt>
                  <c:pt idx="141">
                    <c:v>6.3001400870721355E-2</c:v>
                  </c:pt>
                  <c:pt idx="142">
                    <c:v>1.784092842334572E-3</c:v>
                  </c:pt>
                  <c:pt idx="143">
                    <c:v>2.341325267664297E-2</c:v>
                  </c:pt>
                  <c:pt idx="144">
                    <c:v>3.6606054444857259E-3</c:v>
                  </c:pt>
                  <c:pt idx="145">
                    <c:v>6.9406696631654288E-3</c:v>
                  </c:pt>
                  <c:pt idx="146">
                    <c:v>2.0826000064980432E-2</c:v>
                  </c:pt>
                  <c:pt idx="147">
                    <c:v>4.7540289840916371E-2</c:v>
                  </c:pt>
                  <c:pt idx="148">
                    <c:v>1.9356047120482351E-2</c:v>
                  </c:pt>
                  <c:pt idx="149">
                    <c:v>5.4006589267368198E-2</c:v>
                  </c:pt>
                  <c:pt idx="150">
                    <c:v>1.027008251534612E-2</c:v>
                  </c:pt>
                  <c:pt idx="151">
                    <c:v>3.0725218456701429E-2</c:v>
                  </c:pt>
                  <c:pt idx="152">
                    <c:v>2.5577205187964681E-2</c:v>
                  </c:pt>
                  <c:pt idx="153">
                    <c:v>9.4266062615136134E-3</c:v>
                  </c:pt>
                  <c:pt idx="154">
                    <c:v>1.0900394773784121E-2</c:v>
                  </c:pt>
                  <c:pt idx="155">
                    <c:v>1.983623309944647E-2</c:v>
                  </c:pt>
                  <c:pt idx="156">
                    <c:v>3.1474640979271183E-2</c:v>
                  </c:pt>
                  <c:pt idx="157">
                    <c:v>1.3868866505368701E-2</c:v>
                  </c:pt>
                  <c:pt idx="158">
                    <c:v>1.179357393996594E-2</c:v>
                  </c:pt>
                  <c:pt idx="159">
                    <c:v>1.71285786245855E-3</c:v>
                  </c:pt>
                  <c:pt idx="160">
                    <c:v>2.174052856136708E-2</c:v>
                  </c:pt>
                  <c:pt idx="161">
                    <c:v>2.6975937400583992E-2</c:v>
                  </c:pt>
                  <c:pt idx="162">
                    <c:v>1.818278693797035E-2</c:v>
                  </c:pt>
                  <c:pt idx="163">
                    <c:v>2.900922766400655E-2</c:v>
                  </c:pt>
                  <c:pt idx="164">
                    <c:v>5.9655336236663907E-2</c:v>
                  </c:pt>
                  <c:pt idx="165">
                    <c:v>3.9033567499420621E-2</c:v>
                  </c:pt>
                  <c:pt idx="166">
                    <c:v>1.8752373116772272E-2</c:v>
                  </c:pt>
                  <c:pt idx="167">
                    <c:v>3.5291035476340358E-3</c:v>
                  </c:pt>
                  <c:pt idx="168">
                    <c:v>1.5687190190832478E-2</c:v>
                  </c:pt>
                  <c:pt idx="169">
                    <c:v>2.6721786500665749E-2</c:v>
                  </c:pt>
                  <c:pt idx="170">
                    <c:v>6.9204995629040172E-2</c:v>
                  </c:pt>
                  <c:pt idx="171">
                    <c:v>2.280240188453261E-2</c:v>
                  </c:pt>
                  <c:pt idx="172">
                    <c:v>2.0508951219114849E-2</c:v>
                  </c:pt>
                  <c:pt idx="173">
                    <c:v>1.1784762864275629E-2</c:v>
                  </c:pt>
                  <c:pt idx="174">
                    <c:v>6.4933533378179739E-2</c:v>
                  </c:pt>
                  <c:pt idx="175">
                    <c:v>5.0650981064293638E-2</c:v>
                  </c:pt>
                  <c:pt idx="176">
                    <c:v>3.7602993437686458E-2</c:v>
                  </c:pt>
                  <c:pt idx="177">
                    <c:v>1.4214580323430081E-2</c:v>
                  </c:pt>
                  <c:pt idx="178">
                    <c:v>1.316081368376611E-2</c:v>
                  </c:pt>
                  <c:pt idx="179">
                    <c:v>4.8721130998298237E-2</c:v>
                  </c:pt>
                  <c:pt idx="180">
                    <c:v>2.9618743120795401E-2</c:v>
                  </c:pt>
                  <c:pt idx="181">
                    <c:v>2.506965035899289E-2</c:v>
                  </c:pt>
                  <c:pt idx="182">
                    <c:v>8.6300508007277257E-3</c:v>
                  </c:pt>
                  <c:pt idx="183">
                    <c:v>7.3981459001744854E-3</c:v>
                  </c:pt>
                  <c:pt idx="184">
                    <c:v>1.691342001550105E-2</c:v>
                  </c:pt>
                  <c:pt idx="185">
                    <c:v>4.8760849036629458E-3</c:v>
                  </c:pt>
                  <c:pt idx="186">
                    <c:v>2.707809085233322E-3</c:v>
                  </c:pt>
                  <c:pt idx="187">
                    <c:v>1.8042976603181979E-2</c:v>
                  </c:pt>
                  <c:pt idx="188">
                    <c:v>1.6615342661960391E-2</c:v>
                  </c:pt>
                  <c:pt idx="189">
                    <c:v>2.2264469849430469E-2</c:v>
                  </c:pt>
                  <c:pt idx="190">
                    <c:v>3.343370308282935E-2</c:v>
                  </c:pt>
                  <c:pt idx="191">
                    <c:v>2.907263379726506E-2</c:v>
                  </c:pt>
                  <c:pt idx="192">
                    <c:v>1.8177135222527719E-2</c:v>
                  </c:pt>
                  <c:pt idx="193">
                    <c:v>4.2484549615113908E-2</c:v>
                  </c:pt>
                  <c:pt idx="194">
                    <c:v>1.17811873430172E-2</c:v>
                  </c:pt>
                  <c:pt idx="195">
                    <c:v>1.131025301858081E-2</c:v>
                  </c:pt>
                  <c:pt idx="196">
                    <c:v>4.2781325898821332E-2</c:v>
                  </c:pt>
                  <c:pt idx="197">
                    <c:v>4.5211924668851697E-3</c:v>
                  </c:pt>
                  <c:pt idx="198">
                    <c:v>9.5605703641822148E-3</c:v>
                  </c:pt>
                  <c:pt idx="199">
                    <c:v>9.1988579553878291E-3</c:v>
                  </c:pt>
                  <c:pt idx="200">
                    <c:v>1.587349930252108E-2</c:v>
                  </c:pt>
                  <c:pt idx="201">
                    <c:v>2.525022903617799E-2</c:v>
                  </c:pt>
                  <c:pt idx="202">
                    <c:v>2.3663241993457249E-2</c:v>
                  </c:pt>
                  <c:pt idx="203">
                    <c:v>2.3134473714520931E-2</c:v>
                  </c:pt>
                  <c:pt idx="204">
                    <c:v>1.506848913820889E-2</c:v>
                  </c:pt>
                  <c:pt idx="205">
                    <c:v>1.143159412873271E-2</c:v>
                  </c:pt>
                  <c:pt idx="206">
                    <c:v>1.9001075258906871E-2</c:v>
                  </c:pt>
                  <c:pt idx="207">
                    <c:v>6.9017806248203042E-2</c:v>
                  </c:pt>
                  <c:pt idx="208">
                    <c:v>4.7298935409920383E-2</c:v>
                  </c:pt>
                  <c:pt idx="209">
                    <c:v>5.7828349013787042E-2</c:v>
                  </c:pt>
                  <c:pt idx="210">
                    <c:v>8.6987900905289503E-3</c:v>
                  </c:pt>
                  <c:pt idx="211">
                    <c:v>3.0496499881497049E-2</c:v>
                  </c:pt>
                  <c:pt idx="212">
                    <c:v>2.4473382732565632E-2</c:v>
                  </c:pt>
                  <c:pt idx="213">
                    <c:v>1.0064982028219789E-2</c:v>
                  </c:pt>
                  <c:pt idx="214">
                    <c:v>4.8001454944511879E-3</c:v>
                  </c:pt>
                  <c:pt idx="215">
                    <c:v>1.332244245154578E-2</c:v>
                  </c:pt>
                  <c:pt idx="216">
                    <c:v>1.1695610224717899E-2</c:v>
                  </c:pt>
                  <c:pt idx="217">
                    <c:v>4.74797710305657E-2</c:v>
                  </c:pt>
                  <c:pt idx="218">
                    <c:v>1.113608703623724E-2</c:v>
                  </c:pt>
                  <c:pt idx="219">
                    <c:v>1.69596309473302E-2</c:v>
                  </c:pt>
                  <c:pt idx="220">
                    <c:v>2.2845418260648349E-2</c:v>
                  </c:pt>
                  <c:pt idx="221">
                    <c:v>1.5464271200114829E-2</c:v>
                  </c:pt>
                  <c:pt idx="222">
                    <c:v>1.7885523533009779E-2</c:v>
                  </c:pt>
                  <c:pt idx="223">
                    <c:v>9.6892921738277182E-3</c:v>
                  </c:pt>
                  <c:pt idx="224">
                    <c:v>1.2647578465889301E-2</c:v>
                  </c:pt>
                  <c:pt idx="225">
                    <c:v>5.0158482010055343E-2</c:v>
                  </c:pt>
                  <c:pt idx="226">
                    <c:v>7.9809867064142472E-3</c:v>
                  </c:pt>
                  <c:pt idx="227">
                    <c:v>8.3627670827392201E-3</c:v>
                  </c:pt>
                  <c:pt idx="228">
                    <c:v>4.1372348498160526E-3</c:v>
                  </c:pt>
                  <c:pt idx="229">
                    <c:v>9.804417129259918E-3</c:v>
                  </c:pt>
                  <c:pt idx="230">
                    <c:v>5.7041708547224436E-3</c:v>
                  </c:pt>
                  <c:pt idx="231">
                    <c:v>1.0547354311653699E-2</c:v>
                  </c:pt>
                  <c:pt idx="232">
                    <c:v>8.0344778856528097E-3</c:v>
                  </c:pt>
                  <c:pt idx="233">
                    <c:v>1.1206178661602941E-3</c:v>
                  </c:pt>
                  <c:pt idx="234">
                    <c:v>7.2485518527023287E-3</c:v>
                  </c:pt>
                  <c:pt idx="235">
                    <c:v>1.110437647602935E-2</c:v>
                  </c:pt>
                  <c:pt idx="236">
                    <c:v>1.973387115321289E-2</c:v>
                  </c:pt>
                  <c:pt idx="237">
                    <c:v>8.627212189699144E-3</c:v>
                  </c:pt>
                  <c:pt idx="238">
                    <c:v>3.475350910985729E-3</c:v>
                  </c:pt>
                  <c:pt idx="239">
                    <c:v>1.2000120284374071E-2</c:v>
                  </c:pt>
                  <c:pt idx="240">
                    <c:v>1.0859443940033501E-2</c:v>
                  </c:pt>
                  <c:pt idx="241">
                    <c:v>8.0383961106445054E-3</c:v>
                  </c:pt>
                  <c:pt idx="242">
                    <c:v>1.4879915179845561E-2</c:v>
                  </c:pt>
                  <c:pt idx="243">
                    <c:v>1.842754707235621E-2</c:v>
                  </c:pt>
                  <c:pt idx="244">
                    <c:v>1.258393900823975E-2</c:v>
                  </c:pt>
                  <c:pt idx="245">
                    <c:v>5.0139398197657338E-3</c:v>
                  </c:pt>
                  <c:pt idx="246">
                    <c:v>6.3275101071999483E-3</c:v>
                  </c:pt>
                  <c:pt idx="247">
                    <c:v>1.1378822275583371E-2</c:v>
                  </c:pt>
                  <c:pt idx="248">
                    <c:v>1.023626291855686E-2</c:v>
                  </c:pt>
                  <c:pt idx="249">
                    <c:v>1.380503741031845E-2</c:v>
                  </c:pt>
                  <c:pt idx="250">
                    <c:v>2.7814237008842599E-2</c:v>
                  </c:pt>
                  <c:pt idx="251">
                    <c:v>1.673274890556356E-2</c:v>
                  </c:pt>
                  <c:pt idx="252">
                    <c:v>1.8364956486012898E-2</c:v>
                  </c:pt>
                  <c:pt idx="253">
                    <c:v>3.616756545709547E-3</c:v>
                  </c:pt>
                  <c:pt idx="254">
                    <c:v>3.5082964863473211E-3</c:v>
                  </c:pt>
                  <c:pt idx="255">
                    <c:v>2.1756858074113549E-2</c:v>
                  </c:pt>
                  <c:pt idx="256">
                    <c:v>1.313104471388063E-2</c:v>
                  </c:pt>
                  <c:pt idx="257">
                    <c:v>2.0954857652002341E-2</c:v>
                  </c:pt>
                  <c:pt idx="258">
                    <c:v>1.521925594576529E-2</c:v>
                  </c:pt>
                  <c:pt idx="259">
                    <c:v>2.804833040549526E-3</c:v>
                  </c:pt>
                  <c:pt idx="260">
                    <c:v>1.9011686932792531E-2</c:v>
                  </c:pt>
                  <c:pt idx="261">
                    <c:v>1.400625161751482E-2</c:v>
                  </c:pt>
                  <c:pt idx="262">
                    <c:v>3.2692385847942502E-3</c:v>
                  </c:pt>
                  <c:pt idx="263">
                    <c:v>1.4008520091643909E-2</c:v>
                  </c:pt>
                  <c:pt idx="264">
                    <c:v>2.8869069467000959E-2</c:v>
                  </c:pt>
                  <c:pt idx="265">
                    <c:v>3.4522846019748011E-3</c:v>
                  </c:pt>
                  <c:pt idx="266">
                    <c:v>3.8374144128932218E-2</c:v>
                  </c:pt>
                  <c:pt idx="267">
                    <c:v>3.6814286787609743E-2</c:v>
                  </c:pt>
                  <c:pt idx="268">
                    <c:v>3.1846371835477387E-2</c:v>
                  </c:pt>
                  <c:pt idx="269">
                    <c:v>9.3034962368885987E-3</c:v>
                  </c:pt>
                  <c:pt idx="270">
                    <c:v>1.42262375708025E-2</c:v>
                  </c:pt>
                  <c:pt idx="271">
                    <c:v>4.4098474870327309E-2</c:v>
                  </c:pt>
                  <c:pt idx="272">
                    <c:v>1.8611389843146049E-2</c:v>
                  </c:pt>
                  <c:pt idx="273">
                    <c:v>1.752340028688552E-2</c:v>
                  </c:pt>
                  <c:pt idx="274">
                    <c:v>3.2320943971148812E-2</c:v>
                  </c:pt>
                  <c:pt idx="275">
                    <c:v>5.1345086589084481E-3</c:v>
                  </c:pt>
                  <c:pt idx="276">
                    <c:v>6.6835276886838241E-2</c:v>
                  </c:pt>
                  <c:pt idx="277">
                    <c:v>4.3776319021094613E-2</c:v>
                  </c:pt>
                  <c:pt idx="278">
                    <c:v>3.564509227167733E-2</c:v>
                  </c:pt>
                  <c:pt idx="279">
                    <c:v>1.5037073205719309E-3</c:v>
                  </c:pt>
                </c:numCache>
              </c:numRef>
            </c:plus>
            <c:minus>
              <c:numRef>
                <c:f>'Paul dataset'!$AE$2:$AE$281</c:f>
                <c:numCache>
                  <c:formatCode>General</c:formatCode>
                  <c:ptCount val="280"/>
                  <c:pt idx="0">
                    <c:v>1.294272130234661E-2</c:v>
                  </c:pt>
                  <c:pt idx="1">
                    <c:v>0.13564968058771079</c:v>
                  </c:pt>
                  <c:pt idx="2">
                    <c:v>2.036184534790964E-3</c:v>
                  </c:pt>
                  <c:pt idx="3">
                    <c:v>2.5993188017183928E-2</c:v>
                  </c:pt>
                  <c:pt idx="4">
                    <c:v>7.9847201489404197E-3</c:v>
                  </c:pt>
                  <c:pt idx="5">
                    <c:v>8.3358417933041972E-4</c:v>
                  </c:pt>
                  <c:pt idx="6">
                    <c:v>7.450924975955997E-2</c:v>
                  </c:pt>
                  <c:pt idx="7">
                    <c:v>9.9051471933741999E-3</c:v>
                  </c:pt>
                  <c:pt idx="8">
                    <c:v>1.279854830003236E-2</c:v>
                  </c:pt>
                  <c:pt idx="9">
                    <c:v>7.6625200412675551E-2</c:v>
                  </c:pt>
                  <c:pt idx="10">
                    <c:v>2.0821699580131181E-3</c:v>
                  </c:pt>
                  <c:pt idx="11">
                    <c:v>2.6038343250464141E-2</c:v>
                  </c:pt>
                  <c:pt idx="12">
                    <c:v>4.4452682561833979E-3</c:v>
                  </c:pt>
                  <c:pt idx="13">
                    <c:v>7.2754748017715212E-3</c:v>
                  </c:pt>
                  <c:pt idx="14">
                    <c:v>7.7279653570898983E-3</c:v>
                  </c:pt>
                  <c:pt idx="15">
                    <c:v>9.8694181004846913E-3</c:v>
                  </c:pt>
                  <c:pt idx="16">
                    <c:v>8.8868664621583552E-3</c:v>
                  </c:pt>
                  <c:pt idx="17">
                    <c:v>2.356014299132036E-3</c:v>
                  </c:pt>
                  <c:pt idx="18">
                    <c:v>1.996712324977687E-3</c:v>
                  </c:pt>
                  <c:pt idx="19">
                    <c:v>8.2142811712026149E-3</c:v>
                  </c:pt>
                  <c:pt idx="20">
                    <c:v>5.8936630547841134E-3</c:v>
                  </c:pt>
                  <c:pt idx="21">
                    <c:v>1.5457630803294761E-2</c:v>
                  </c:pt>
                  <c:pt idx="22">
                    <c:v>1.545054726564961E-2</c:v>
                  </c:pt>
                  <c:pt idx="23">
                    <c:v>0.1095793548520949</c:v>
                  </c:pt>
                  <c:pt idx="24">
                    <c:v>1.5412690854560329E-3</c:v>
                  </c:pt>
                  <c:pt idx="25">
                    <c:v>8.3843310799998863E-2</c:v>
                  </c:pt>
                  <c:pt idx="26">
                    <c:v>9.9003637157663894E-3</c:v>
                  </c:pt>
                  <c:pt idx="27">
                    <c:v>1.6483084154857709E-2</c:v>
                  </c:pt>
                  <c:pt idx="28">
                    <c:v>1.0982166216606699E-2</c:v>
                  </c:pt>
                  <c:pt idx="29">
                    <c:v>2.6390732279320581E-2</c:v>
                  </c:pt>
                  <c:pt idx="30">
                    <c:v>1.4773616102523609E-2</c:v>
                  </c:pt>
                  <c:pt idx="31">
                    <c:v>4.8683894411408824E-3</c:v>
                  </c:pt>
                  <c:pt idx="32">
                    <c:v>2.527678793962157E-2</c:v>
                  </c:pt>
                  <c:pt idx="33">
                    <c:v>8.5253542053357802E-3</c:v>
                  </c:pt>
                  <c:pt idx="34">
                    <c:v>4.4276436015314749E-4</c:v>
                  </c:pt>
                  <c:pt idx="35">
                    <c:v>2.217291393649267E-3</c:v>
                  </c:pt>
                  <c:pt idx="36">
                    <c:v>1.30730254302091E-2</c:v>
                  </c:pt>
                  <c:pt idx="37">
                    <c:v>1.025669759223596E-2</c:v>
                  </c:pt>
                  <c:pt idx="38">
                    <c:v>5.0689870632973427E-3</c:v>
                  </c:pt>
                  <c:pt idx="39">
                    <c:v>7.9816260917613055E-2</c:v>
                  </c:pt>
                  <c:pt idx="40">
                    <c:v>1.0012592683189109E-3</c:v>
                  </c:pt>
                  <c:pt idx="41">
                    <c:v>5.5996708174201491E-3</c:v>
                  </c:pt>
                  <c:pt idx="42">
                    <c:v>2.7564668502500549E-2</c:v>
                  </c:pt>
                  <c:pt idx="43">
                    <c:v>3.5037783085195069E-2</c:v>
                  </c:pt>
                  <c:pt idx="44">
                    <c:v>1.3959576260723741E-2</c:v>
                  </c:pt>
                  <c:pt idx="45">
                    <c:v>2.1071891910074959E-2</c:v>
                  </c:pt>
                  <c:pt idx="46">
                    <c:v>7.200705410837587E-3</c:v>
                  </c:pt>
                  <c:pt idx="47">
                    <c:v>3.675476643343879E-3</c:v>
                  </c:pt>
                  <c:pt idx="48">
                    <c:v>2.4140816560313309E-2</c:v>
                  </c:pt>
                  <c:pt idx="49">
                    <c:v>1.239287752952432E-2</c:v>
                  </c:pt>
                  <c:pt idx="50">
                    <c:v>1.6749806865949901E-2</c:v>
                  </c:pt>
                  <c:pt idx="51">
                    <c:v>7.4351753328947808E-3</c:v>
                  </c:pt>
                  <c:pt idx="52">
                    <c:v>5.6348969423995711E-3</c:v>
                  </c:pt>
                  <c:pt idx="53">
                    <c:v>1.7024806801462612E-2</c:v>
                  </c:pt>
                  <c:pt idx="54">
                    <c:v>1.4426317800383099E-2</c:v>
                  </c:pt>
                  <c:pt idx="55">
                    <c:v>7.9230982780971338E-3</c:v>
                  </c:pt>
                  <c:pt idx="56">
                    <c:v>4.8842084080157992E-3</c:v>
                  </c:pt>
                  <c:pt idx="57">
                    <c:v>4.5110369876273987E-3</c:v>
                  </c:pt>
                  <c:pt idx="58">
                    <c:v>4.6622578129600313E-3</c:v>
                  </c:pt>
                  <c:pt idx="59">
                    <c:v>5.7174241468143519E-3</c:v>
                  </c:pt>
                  <c:pt idx="60">
                    <c:v>1.268026751280985E-2</c:v>
                  </c:pt>
                  <c:pt idx="61">
                    <c:v>2.2807897106579222E-2</c:v>
                  </c:pt>
                  <c:pt idx="62">
                    <c:v>6.6612852950861407E-3</c:v>
                  </c:pt>
                  <c:pt idx="63">
                    <c:v>4.6090906849450084E-3</c:v>
                  </c:pt>
                  <c:pt idx="64">
                    <c:v>0.13465811620461449</c:v>
                  </c:pt>
                  <c:pt idx="65">
                    <c:v>3.428724596226021E-2</c:v>
                  </c:pt>
                  <c:pt idx="66">
                    <c:v>1.082459485920721E-2</c:v>
                  </c:pt>
                  <c:pt idx="67">
                    <c:v>1.0309744026150799E-2</c:v>
                  </c:pt>
                  <c:pt idx="68">
                    <c:v>1.8647182097790319E-2</c:v>
                  </c:pt>
                  <c:pt idx="69">
                    <c:v>2.2908287225334941E-2</c:v>
                  </c:pt>
                  <c:pt idx="70">
                    <c:v>3.9700339843523362E-3</c:v>
                  </c:pt>
                  <c:pt idx="71">
                    <c:v>8.8015052671100522E-3</c:v>
                  </c:pt>
                  <c:pt idx="72">
                    <c:v>5.8426504836833206E-4</c:v>
                  </c:pt>
                  <c:pt idx="73">
                    <c:v>3.4768403087800251E-3</c:v>
                  </c:pt>
                  <c:pt idx="74">
                    <c:v>7.6645624894044516E-3</c:v>
                  </c:pt>
                  <c:pt idx="75">
                    <c:v>1.0539073370809121E-2</c:v>
                  </c:pt>
                  <c:pt idx="76">
                    <c:v>1.253065730196808E-3</c:v>
                  </c:pt>
                  <c:pt idx="77">
                    <c:v>7.9876469566824305E-3</c:v>
                  </c:pt>
                  <c:pt idx="78">
                    <c:v>1.3037028380568001E-3</c:v>
                  </c:pt>
                  <c:pt idx="79">
                    <c:v>2.5050274942234299E-3</c:v>
                  </c:pt>
                  <c:pt idx="80">
                    <c:v>5.4131337241158546E-3</c:v>
                  </c:pt>
                  <c:pt idx="81">
                    <c:v>1.0548028526300379E-2</c:v>
                  </c:pt>
                  <c:pt idx="82">
                    <c:v>8.3570130085490121E-3</c:v>
                  </c:pt>
                  <c:pt idx="83">
                    <c:v>1.0867550787295991E-2</c:v>
                  </c:pt>
                  <c:pt idx="84">
                    <c:v>6.1023433734117916E-3</c:v>
                  </c:pt>
                  <c:pt idx="85">
                    <c:v>1.0594244265274321E-3</c:v>
                  </c:pt>
                  <c:pt idx="86">
                    <c:v>1.861205107463319E-2</c:v>
                  </c:pt>
                  <c:pt idx="87">
                    <c:v>5.8191112966586144E-3</c:v>
                  </c:pt>
                  <c:pt idx="88">
                    <c:v>1.7191590218186718E-2</c:v>
                  </c:pt>
                  <c:pt idx="89">
                    <c:v>9.7612671309064123E-4</c:v>
                  </c:pt>
                  <c:pt idx="90">
                    <c:v>7.9913216928039314E-3</c:v>
                  </c:pt>
                  <c:pt idx="91">
                    <c:v>3.889109908174722E-3</c:v>
                  </c:pt>
                  <c:pt idx="92">
                    <c:v>7.5839128856669486E-3</c:v>
                  </c:pt>
                  <c:pt idx="93">
                    <c:v>1.2617656079738819E-3</c:v>
                  </c:pt>
                  <c:pt idx="94">
                    <c:v>1.14185235790685E-3</c:v>
                  </c:pt>
                  <c:pt idx="95">
                    <c:v>6.5188749716355073E-3</c:v>
                  </c:pt>
                  <c:pt idx="96">
                    <c:v>2.2318452511214939E-3</c:v>
                  </c:pt>
                  <c:pt idx="97">
                    <c:v>2.008972535661974E-2</c:v>
                  </c:pt>
                  <c:pt idx="98">
                    <c:v>3.1432604308156459E-3</c:v>
                  </c:pt>
                  <c:pt idx="99">
                    <c:v>2.0999593922924061E-2</c:v>
                  </c:pt>
                  <c:pt idx="100">
                    <c:v>4.8603070810243933E-3</c:v>
                  </c:pt>
                  <c:pt idx="101">
                    <c:v>2.1054633707947778E-3</c:v>
                  </c:pt>
                  <c:pt idx="102">
                    <c:v>7.7382065490691748E-3</c:v>
                  </c:pt>
                  <c:pt idx="103">
                    <c:v>4.3636082225206223E-3</c:v>
                  </c:pt>
                  <c:pt idx="104">
                    <c:v>2.997222992303717E-3</c:v>
                  </c:pt>
                  <c:pt idx="105">
                    <c:v>1.9966591062924839E-3</c:v>
                  </c:pt>
                  <c:pt idx="106">
                    <c:v>2.391403548404538E-2</c:v>
                  </c:pt>
                  <c:pt idx="107">
                    <c:v>1.5172200397242661E-3</c:v>
                  </c:pt>
                  <c:pt idx="108">
                    <c:v>1.43344168732317E-2</c:v>
                  </c:pt>
                  <c:pt idx="109">
                    <c:v>4.549722821809263E-3</c:v>
                  </c:pt>
                  <c:pt idx="110">
                    <c:v>4.9684040093986763E-3</c:v>
                  </c:pt>
                  <c:pt idx="111">
                    <c:v>4.6185748684066828E-3</c:v>
                  </c:pt>
                  <c:pt idx="112">
                    <c:v>3.5391291986445257E-2</c:v>
                  </c:pt>
                  <c:pt idx="113">
                    <c:v>5.1552723590308257E-3</c:v>
                  </c:pt>
                  <c:pt idx="114">
                    <c:v>3.8137878283688489E-2</c:v>
                  </c:pt>
                  <c:pt idx="115">
                    <c:v>2.6328187804412948E-3</c:v>
                  </c:pt>
                  <c:pt idx="116">
                    <c:v>1.8800045979499851E-2</c:v>
                  </c:pt>
                  <c:pt idx="117">
                    <c:v>5.6408252427047709E-2</c:v>
                  </c:pt>
                  <c:pt idx="118">
                    <c:v>7.5193766450612504E-3</c:v>
                  </c:pt>
                  <c:pt idx="119">
                    <c:v>1.9891376971380541E-2</c:v>
                  </c:pt>
                  <c:pt idx="120">
                    <c:v>3.478291588400436E-2</c:v>
                  </c:pt>
                  <c:pt idx="121">
                    <c:v>5.7141767520572082E-2</c:v>
                  </c:pt>
                  <c:pt idx="122">
                    <c:v>3.1540557466290318E-3</c:v>
                  </c:pt>
                  <c:pt idx="123">
                    <c:v>3.2886241146487961E-3</c:v>
                  </c:pt>
                  <c:pt idx="124">
                    <c:v>2.7955393491889912E-3</c:v>
                  </c:pt>
                  <c:pt idx="125">
                    <c:v>1.434613613419675E-2</c:v>
                  </c:pt>
                  <c:pt idx="126">
                    <c:v>4.7617102736222383E-3</c:v>
                  </c:pt>
                  <c:pt idx="127">
                    <c:v>1.00292724225162E-2</c:v>
                  </c:pt>
                  <c:pt idx="128">
                    <c:v>1.0959715520701369E-2</c:v>
                  </c:pt>
                  <c:pt idx="129">
                    <c:v>5.201109430586915E-2</c:v>
                  </c:pt>
                  <c:pt idx="130">
                    <c:v>1.596238906689508E-2</c:v>
                  </c:pt>
                  <c:pt idx="131">
                    <c:v>5.4052229013784444E-3</c:v>
                  </c:pt>
                  <c:pt idx="132">
                    <c:v>2.9600093819201059E-2</c:v>
                  </c:pt>
                  <c:pt idx="133">
                    <c:v>3.0703944482479682E-2</c:v>
                  </c:pt>
                  <c:pt idx="134">
                    <c:v>4.2843730899831567E-2</c:v>
                  </c:pt>
                  <c:pt idx="135">
                    <c:v>2.195615167210585E-2</c:v>
                  </c:pt>
                  <c:pt idx="136">
                    <c:v>1.2068605580688729E-2</c:v>
                  </c:pt>
                  <c:pt idx="137">
                    <c:v>6.8565330153830539E-2</c:v>
                  </c:pt>
                  <c:pt idx="138">
                    <c:v>1.9711639632541501E-2</c:v>
                  </c:pt>
                  <c:pt idx="139">
                    <c:v>1.5042595441486161E-2</c:v>
                  </c:pt>
                  <c:pt idx="140">
                    <c:v>2.280717791957405E-2</c:v>
                  </c:pt>
                  <c:pt idx="141">
                    <c:v>6.3001400870721355E-2</c:v>
                  </c:pt>
                  <c:pt idx="142">
                    <c:v>1.784092842334572E-3</c:v>
                  </c:pt>
                  <c:pt idx="143">
                    <c:v>2.341325267664297E-2</c:v>
                  </c:pt>
                  <c:pt idx="144">
                    <c:v>3.6606054444857259E-3</c:v>
                  </c:pt>
                  <c:pt idx="145">
                    <c:v>6.9406696631654288E-3</c:v>
                  </c:pt>
                  <c:pt idx="146">
                    <c:v>2.0826000064980432E-2</c:v>
                  </c:pt>
                  <c:pt idx="147">
                    <c:v>4.7540289840916371E-2</c:v>
                  </c:pt>
                  <c:pt idx="148">
                    <c:v>1.9356047120482351E-2</c:v>
                  </c:pt>
                  <c:pt idx="149">
                    <c:v>5.4006589267368198E-2</c:v>
                  </c:pt>
                  <c:pt idx="150">
                    <c:v>1.027008251534612E-2</c:v>
                  </c:pt>
                  <c:pt idx="151">
                    <c:v>3.0725218456701429E-2</c:v>
                  </c:pt>
                  <c:pt idx="152">
                    <c:v>2.5577205187964681E-2</c:v>
                  </c:pt>
                  <c:pt idx="153">
                    <c:v>9.4266062615136134E-3</c:v>
                  </c:pt>
                  <c:pt idx="154">
                    <c:v>1.0900394773784121E-2</c:v>
                  </c:pt>
                  <c:pt idx="155">
                    <c:v>1.983623309944647E-2</c:v>
                  </c:pt>
                  <c:pt idx="156">
                    <c:v>3.1474640979271183E-2</c:v>
                  </c:pt>
                  <c:pt idx="157">
                    <c:v>1.3868866505368701E-2</c:v>
                  </c:pt>
                  <c:pt idx="158">
                    <c:v>1.179357393996594E-2</c:v>
                  </c:pt>
                  <c:pt idx="159">
                    <c:v>1.71285786245855E-3</c:v>
                  </c:pt>
                  <c:pt idx="160">
                    <c:v>2.174052856136708E-2</c:v>
                  </c:pt>
                  <c:pt idx="161">
                    <c:v>2.6975937400583992E-2</c:v>
                  </c:pt>
                  <c:pt idx="162">
                    <c:v>1.818278693797035E-2</c:v>
                  </c:pt>
                  <c:pt idx="163">
                    <c:v>2.900922766400655E-2</c:v>
                  </c:pt>
                  <c:pt idx="164">
                    <c:v>5.9655336236663907E-2</c:v>
                  </c:pt>
                  <c:pt idx="165">
                    <c:v>3.9033567499420621E-2</c:v>
                  </c:pt>
                  <c:pt idx="166">
                    <c:v>1.8752373116772272E-2</c:v>
                  </c:pt>
                  <c:pt idx="167">
                    <c:v>3.5291035476340358E-3</c:v>
                  </c:pt>
                  <c:pt idx="168">
                    <c:v>1.5687190190832478E-2</c:v>
                  </c:pt>
                  <c:pt idx="169">
                    <c:v>2.6721786500665749E-2</c:v>
                  </c:pt>
                  <c:pt idx="170">
                    <c:v>6.9204995629040172E-2</c:v>
                  </c:pt>
                  <c:pt idx="171">
                    <c:v>2.280240188453261E-2</c:v>
                  </c:pt>
                  <c:pt idx="172">
                    <c:v>2.0508951219114849E-2</c:v>
                  </c:pt>
                  <c:pt idx="173">
                    <c:v>1.1784762864275629E-2</c:v>
                  </c:pt>
                  <c:pt idx="174">
                    <c:v>6.4933533378179739E-2</c:v>
                  </c:pt>
                  <c:pt idx="175">
                    <c:v>5.0650981064293638E-2</c:v>
                  </c:pt>
                  <c:pt idx="176">
                    <c:v>3.7602993437686458E-2</c:v>
                  </c:pt>
                  <c:pt idx="177">
                    <c:v>1.4214580323430081E-2</c:v>
                  </c:pt>
                  <c:pt idx="178">
                    <c:v>1.316081368376611E-2</c:v>
                  </c:pt>
                  <c:pt idx="179">
                    <c:v>4.8721130998298237E-2</c:v>
                  </c:pt>
                  <c:pt idx="180">
                    <c:v>2.9618743120795401E-2</c:v>
                  </c:pt>
                  <c:pt idx="181">
                    <c:v>2.506965035899289E-2</c:v>
                  </c:pt>
                  <c:pt idx="182">
                    <c:v>8.6300508007277257E-3</c:v>
                  </c:pt>
                  <c:pt idx="183">
                    <c:v>7.3981459001744854E-3</c:v>
                  </c:pt>
                  <c:pt idx="184">
                    <c:v>1.691342001550105E-2</c:v>
                  </c:pt>
                  <c:pt idx="185">
                    <c:v>4.8760849036629458E-3</c:v>
                  </c:pt>
                  <c:pt idx="186">
                    <c:v>2.707809085233322E-3</c:v>
                  </c:pt>
                  <c:pt idx="187">
                    <c:v>1.8042976603181979E-2</c:v>
                  </c:pt>
                  <c:pt idx="188">
                    <c:v>1.6615342661960391E-2</c:v>
                  </c:pt>
                  <c:pt idx="189">
                    <c:v>2.2264469849430469E-2</c:v>
                  </c:pt>
                  <c:pt idx="190">
                    <c:v>3.343370308282935E-2</c:v>
                  </c:pt>
                  <c:pt idx="191">
                    <c:v>2.907263379726506E-2</c:v>
                  </c:pt>
                  <c:pt idx="192">
                    <c:v>1.8177135222527719E-2</c:v>
                  </c:pt>
                  <c:pt idx="193">
                    <c:v>4.2484549615113908E-2</c:v>
                  </c:pt>
                  <c:pt idx="194">
                    <c:v>1.17811873430172E-2</c:v>
                  </c:pt>
                  <c:pt idx="195">
                    <c:v>1.131025301858081E-2</c:v>
                  </c:pt>
                  <c:pt idx="196">
                    <c:v>4.2781325898821332E-2</c:v>
                  </c:pt>
                  <c:pt idx="197">
                    <c:v>4.5211924668851697E-3</c:v>
                  </c:pt>
                  <c:pt idx="198">
                    <c:v>9.5605703641822148E-3</c:v>
                  </c:pt>
                  <c:pt idx="199">
                    <c:v>9.1988579553878291E-3</c:v>
                  </c:pt>
                  <c:pt idx="200">
                    <c:v>1.587349930252108E-2</c:v>
                  </c:pt>
                  <c:pt idx="201">
                    <c:v>2.525022903617799E-2</c:v>
                  </c:pt>
                  <c:pt idx="202">
                    <c:v>2.3663241993457249E-2</c:v>
                  </c:pt>
                  <c:pt idx="203">
                    <c:v>2.3134473714520931E-2</c:v>
                  </c:pt>
                  <c:pt idx="204">
                    <c:v>1.506848913820889E-2</c:v>
                  </c:pt>
                  <c:pt idx="205">
                    <c:v>1.143159412873271E-2</c:v>
                  </c:pt>
                  <c:pt idx="206">
                    <c:v>1.9001075258906871E-2</c:v>
                  </c:pt>
                  <c:pt idx="207">
                    <c:v>6.9017806248203042E-2</c:v>
                  </c:pt>
                  <c:pt idx="208">
                    <c:v>4.7298935409920383E-2</c:v>
                  </c:pt>
                  <c:pt idx="209">
                    <c:v>5.7828349013787042E-2</c:v>
                  </c:pt>
                  <c:pt idx="210">
                    <c:v>8.6987900905289503E-3</c:v>
                  </c:pt>
                  <c:pt idx="211">
                    <c:v>3.0496499881497049E-2</c:v>
                  </c:pt>
                  <c:pt idx="212">
                    <c:v>2.4473382732565632E-2</c:v>
                  </c:pt>
                  <c:pt idx="213">
                    <c:v>1.0064982028219789E-2</c:v>
                  </c:pt>
                  <c:pt idx="214">
                    <c:v>4.8001454944511879E-3</c:v>
                  </c:pt>
                  <c:pt idx="215">
                    <c:v>1.332244245154578E-2</c:v>
                  </c:pt>
                  <c:pt idx="216">
                    <c:v>1.1695610224717899E-2</c:v>
                  </c:pt>
                  <c:pt idx="217">
                    <c:v>4.74797710305657E-2</c:v>
                  </c:pt>
                  <c:pt idx="218">
                    <c:v>1.113608703623724E-2</c:v>
                  </c:pt>
                  <c:pt idx="219">
                    <c:v>1.69596309473302E-2</c:v>
                  </c:pt>
                  <c:pt idx="220">
                    <c:v>2.2845418260648349E-2</c:v>
                  </c:pt>
                  <c:pt idx="221">
                    <c:v>1.5464271200114829E-2</c:v>
                  </c:pt>
                  <c:pt idx="222">
                    <c:v>1.7885523533009779E-2</c:v>
                  </c:pt>
                  <c:pt idx="223">
                    <c:v>9.6892921738277182E-3</c:v>
                  </c:pt>
                  <c:pt idx="224">
                    <c:v>1.2647578465889301E-2</c:v>
                  </c:pt>
                  <c:pt idx="225">
                    <c:v>5.0158482010055343E-2</c:v>
                  </c:pt>
                  <c:pt idx="226">
                    <c:v>7.9809867064142472E-3</c:v>
                  </c:pt>
                  <c:pt idx="227">
                    <c:v>8.3627670827392201E-3</c:v>
                  </c:pt>
                  <c:pt idx="228">
                    <c:v>4.1372348498160526E-3</c:v>
                  </c:pt>
                  <c:pt idx="229">
                    <c:v>9.804417129259918E-3</c:v>
                  </c:pt>
                  <c:pt idx="230">
                    <c:v>5.7041708547224436E-3</c:v>
                  </c:pt>
                  <c:pt idx="231">
                    <c:v>1.0547354311653699E-2</c:v>
                  </c:pt>
                  <c:pt idx="232">
                    <c:v>8.0344778856528097E-3</c:v>
                  </c:pt>
                  <c:pt idx="233">
                    <c:v>1.1206178661602941E-3</c:v>
                  </c:pt>
                  <c:pt idx="234">
                    <c:v>7.2485518527023287E-3</c:v>
                  </c:pt>
                  <c:pt idx="235">
                    <c:v>1.110437647602935E-2</c:v>
                  </c:pt>
                  <c:pt idx="236">
                    <c:v>1.973387115321289E-2</c:v>
                  </c:pt>
                  <c:pt idx="237">
                    <c:v>8.627212189699144E-3</c:v>
                  </c:pt>
                  <c:pt idx="238">
                    <c:v>3.475350910985729E-3</c:v>
                  </c:pt>
                  <c:pt idx="239">
                    <c:v>1.2000120284374071E-2</c:v>
                  </c:pt>
                  <c:pt idx="240">
                    <c:v>1.0859443940033501E-2</c:v>
                  </c:pt>
                  <c:pt idx="241">
                    <c:v>8.0383961106445054E-3</c:v>
                  </c:pt>
                  <c:pt idx="242">
                    <c:v>1.4879915179845561E-2</c:v>
                  </c:pt>
                  <c:pt idx="243">
                    <c:v>1.842754707235621E-2</c:v>
                  </c:pt>
                  <c:pt idx="244">
                    <c:v>1.258393900823975E-2</c:v>
                  </c:pt>
                  <c:pt idx="245">
                    <c:v>5.0139398197657338E-3</c:v>
                  </c:pt>
                  <c:pt idx="246">
                    <c:v>6.3275101071999483E-3</c:v>
                  </c:pt>
                  <c:pt idx="247">
                    <c:v>1.1378822275583371E-2</c:v>
                  </c:pt>
                  <c:pt idx="248">
                    <c:v>1.023626291855686E-2</c:v>
                  </c:pt>
                  <c:pt idx="249">
                    <c:v>1.380503741031845E-2</c:v>
                  </c:pt>
                  <c:pt idx="250">
                    <c:v>2.7814237008842599E-2</c:v>
                  </c:pt>
                  <c:pt idx="251">
                    <c:v>1.673274890556356E-2</c:v>
                  </c:pt>
                  <c:pt idx="252">
                    <c:v>1.8364956486012898E-2</c:v>
                  </c:pt>
                  <c:pt idx="253">
                    <c:v>3.616756545709547E-3</c:v>
                  </c:pt>
                  <c:pt idx="254">
                    <c:v>3.5082964863473211E-3</c:v>
                  </c:pt>
                  <c:pt idx="255">
                    <c:v>2.1756858074113549E-2</c:v>
                  </c:pt>
                  <c:pt idx="256">
                    <c:v>1.313104471388063E-2</c:v>
                  </c:pt>
                  <c:pt idx="257">
                    <c:v>2.0954857652002341E-2</c:v>
                  </c:pt>
                  <c:pt idx="258">
                    <c:v>1.521925594576529E-2</c:v>
                  </c:pt>
                  <c:pt idx="259">
                    <c:v>2.804833040549526E-3</c:v>
                  </c:pt>
                  <c:pt idx="260">
                    <c:v>1.9011686932792531E-2</c:v>
                  </c:pt>
                  <c:pt idx="261">
                    <c:v>1.400625161751482E-2</c:v>
                  </c:pt>
                  <c:pt idx="262">
                    <c:v>3.2692385847942502E-3</c:v>
                  </c:pt>
                  <c:pt idx="263">
                    <c:v>1.4008520091643909E-2</c:v>
                  </c:pt>
                  <c:pt idx="264">
                    <c:v>2.8869069467000959E-2</c:v>
                  </c:pt>
                  <c:pt idx="265">
                    <c:v>3.4522846019748011E-3</c:v>
                  </c:pt>
                  <c:pt idx="266">
                    <c:v>3.8374144128932218E-2</c:v>
                  </c:pt>
                  <c:pt idx="267">
                    <c:v>3.6814286787609743E-2</c:v>
                  </c:pt>
                  <c:pt idx="268">
                    <c:v>3.1846371835477387E-2</c:v>
                  </c:pt>
                  <c:pt idx="269">
                    <c:v>9.3034962368885987E-3</c:v>
                  </c:pt>
                  <c:pt idx="270">
                    <c:v>1.42262375708025E-2</c:v>
                  </c:pt>
                  <c:pt idx="271">
                    <c:v>4.4098474870327309E-2</c:v>
                  </c:pt>
                  <c:pt idx="272">
                    <c:v>1.8611389843146049E-2</c:v>
                  </c:pt>
                  <c:pt idx="273">
                    <c:v>1.752340028688552E-2</c:v>
                  </c:pt>
                  <c:pt idx="274">
                    <c:v>3.2320943971148812E-2</c:v>
                  </c:pt>
                  <c:pt idx="275">
                    <c:v>5.1345086589084481E-3</c:v>
                  </c:pt>
                  <c:pt idx="276">
                    <c:v>6.6835276886838241E-2</c:v>
                  </c:pt>
                  <c:pt idx="277">
                    <c:v>4.3776319021094613E-2</c:v>
                  </c:pt>
                  <c:pt idx="278">
                    <c:v>3.564509227167733E-2</c:v>
                  </c:pt>
                  <c:pt idx="279">
                    <c:v>1.5037073205719309E-3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'Paul dataset'!$AD$2:$AD$281</c:f>
              <c:numCache>
                <c:formatCode>General</c:formatCode>
                <c:ptCount val="280"/>
                <c:pt idx="0">
                  <c:v>0.48833074579750868</c:v>
                </c:pt>
                <c:pt idx="1">
                  <c:v>1.046107859519753</c:v>
                </c:pt>
                <c:pt idx="2">
                  <c:v>0.50426770864142212</c:v>
                </c:pt>
                <c:pt idx="3">
                  <c:v>0.51014969327298154</c:v>
                </c:pt>
                <c:pt idx="4">
                  <c:v>0.61398404002864582</c:v>
                </c:pt>
                <c:pt idx="5">
                  <c:v>0.70099104932274758</c:v>
                </c:pt>
                <c:pt idx="6">
                  <c:v>0.8090858421189342</c:v>
                </c:pt>
                <c:pt idx="7">
                  <c:v>0.99257634240671322</c:v>
                </c:pt>
                <c:pt idx="8">
                  <c:v>0.66220015113446673</c:v>
                </c:pt>
                <c:pt idx="9">
                  <c:v>0.61553955184225317</c:v>
                </c:pt>
                <c:pt idx="10">
                  <c:v>0.64984438748385964</c:v>
                </c:pt>
                <c:pt idx="11">
                  <c:v>0.78046175667533335</c:v>
                </c:pt>
                <c:pt idx="12">
                  <c:v>0.56668748806397828</c:v>
                </c:pt>
                <c:pt idx="13">
                  <c:v>0.61833377633816888</c:v>
                </c:pt>
                <c:pt idx="14">
                  <c:v>0.69283823321435922</c:v>
                </c:pt>
                <c:pt idx="15">
                  <c:v>0.71449591853721695</c:v>
                </c:pt>
                <c:pt idx="16">
                  <c:v>0.81047235421136421</c:v>
                </c:pt>
                <c:pt idx="17">
                  <c:v>0.77539254520150536</c:v>
                </c:pt>
                <c:pt idx="18">
                  <c:v>0.89535173110766131</c:v>
                </c:pt>
                <c:pt idx="19">
                  <c:v>0.71727603293879927</c:v>
                </c:pt>
                <c:pt idx="20">
                  <c:v>0.79114492981941831</c:v>
                </c:pt>
                <c:pt idx="21">
                  <c:v>0.79328377247140092</c:v>
                </c:pt>
                <c:pt idx="22">
                  <c:v>0.73468166680242442</c:v>
                </c:pt>
                <c:pt idx="23">
                  <c:v>0.82911231565100518</c:v>
                </c:pt>
                <c:pt idx="24">
                  <c:v>0.67482654845865475</c:v>
                </c:pt>
                <c:pt idx="25">
                  <c:v>0.71249366801890412</c:v>
                </c:pt>
                <c:pt idx="26">
                  <c:v>0.51112711556377022</c:v>
                </c:pt>
                <c:pt idx="27">
                  <c:v>0.75422542448834473</c:v>
                </c:pt>
                <c:pt idx="28">
                  <c:v>0.69907952709136456</c:v>
                </c:pt>
                <c:pt idx="29">
                  <c:v>0.71728224953341591</c:v>
                </c:pt>
                <c:pt idx="30">
                  <c:v>0.59592276002590816</c:v>
                </c:pt>
                <c:pt idx="31">
                  <c:v>0.67468208153569986</c:v>
                </c:pt>
                <c:pt idx="32">
                  <c:v>0.69869659079569546</c:v>
                </c:pt>
                <c:pt idx="33">
                  <c:v>0.79235793636783725</c:v>
                </c:pt>
                <c:pt idx="34">
                  <c:v>0.52113947351589796</c:v>
                </c:pt>
                <c:pt idx="35">
                  <c:v>0.55643477779731154</c:v>
                </c:pt>
                <c:pt idx="36">
                  <c:v>0.58615225102100565</c:v>
                </c:pt>
                <c:pt idx="37">
                  <c:v>0.78318014552348014</c:v>
                </c:pt>
                <c:pt idx="38">
                  <c:v>0.65773305768043011</c:v>
                </c:pt>
                <c:pt idx="39">
                  <c:v>0.68204956172893105</c:v>
                </c:pt>
                <c:pt idx="40">
                  <c:v>0.54152652413788871</c:v>
                </c:pt>
                <c:pt idx="41">
                  <c:v>0.73787608397164428</c:v>
                </c:pt>
                <c:pt idx="42">
                  <c:v>0.69444711374250845</c:v>
                </c:pt>
                <c:pt idx="43">
                  <c:v>0.60710787104284336</c:v>
                </c:pt>
                <c:pt idx="44">
                  <c:v>0.66700465336745207</c:v>
                </c:pt>
                <c:pt idx="45">
                  <c:v>0.8006123698830433</c:v>
                </c:pt>
                <c:pt idx="46">
                  <c:v>0.60893044652887773</c:v>
                </c:pt>
                <c:pt idx="47">
                  <c:v>0.56876603187932173</c:v>
                </c:pt>
                <c:pt idx="48">
                  <c:v>0.6492149582239517</c:v>
                </c:pt>
                <c:pt idx="49">
                  <c:v>0.82241875028571443</c:v>
                </c:pt>
                <c:pt idx="50">
                  <c:v>0.70517928972271748</c:v>
                </c:pt>
                <c:pt idx="51">
                  <c:v>0.67634146914821469</c:v>
                </c:pt>
                <c:pt idx="52">
                  <c:v>0.67033160280138182</c:v>
                </c:pt>
                <c:pt idx="53">
                  <c:v>0.67856991381526321</c:v>
                </c:pt>
                <c:pt idx="54">
                  <c:v>0.55019158348179265</c:v>
                </c:pt>
                <c:pt idx="55">
                  <c:v>0.61675277301718301</c:v>
                </c:pt>
                <c:pt idx="56">
                  <c:v>0.6026146588475112</c:v>
                </c:pt>
                <c:pt idx="57">
                  <c:v>0.55740778332360708</c:v>
                </c:pt>
                <c:pt idx="58">
                  <c:v>0.51851755897715401</c:v>
                </c:pt>
                <c:pt idx="59">
                  <c:v>0.47803306489143249</c:v>
                </c:pt>
                <c:pt idx="60">
                  <c:v>0.51120440056753791</c:v>
                </c:pt>
                <c:pt idx="61">
                  <c:v>0.60589474464084003</c:v>
                </c:pt>
                <c:pt idx="62">
                  <c:v>0.5069275588793426</c:v>
                </c:pt>
                <c:pt idx="63">
                  <c:v>0.51752629030030484</c:v>
                </c:pt>
                <c:pt idx="64">
                  <c:v>0.99335714738065184</c:v>
                </c:pt>
                <c:pt idx="65">
                  <c:v>0.62170323192955712</c:v>
                </c:pt>
                <c:pt idx="66">
                  <c:v>0.53130280669175689</c:v>
                </c:pt>
                <c:pt idx="67">
                  <c:v>0.66887750517098477</c:v>
                </c:pt>
                <c:pt idx="68">
                  <c:v>0.70982063701817666</c:v>
                </c:pt>
                <c:pt idx="69">
                  <c:v>0.48747824394714961</c:v>
                </c:pt>
                <c:pt idx="70">
                  <c:v>0.46263831419904311</c:v>
                </c:pt>
                <c:pt idx="71">
                  <c:v>0.45098501895393572</c:v>
                </c:pt>
                <c:pt idx="72">
                  <c:v>0.55008564679703764</c:v>
                </c:pt>
                <c:pt idx="73">
                  <c:v>0.57416374668103443</c:v>
                </c:pt>
                <c:pt idx="74">
                  <c:v>0.52537446318020464</c:v>
                </c:pt>
                <c:pt idx="75">
                  <c:v>0.59062697927855434</c:v>
                </c:pt>
                <c:pt idx="76">
                  <c:v>0.62629408615185944</c:v>
                </c:pt>
                <c:pt idx="77">
                  <c:v>0.54674039321791479</c:v>
                </c:pt>
                <c:pt idx="78">
                  <c:v>0.46615780343952212</c:v>
                </c:pt>
                <c:pt idx="79">
                  <c:v>0.42823239539703578</c:v>
                </c:pt>
                <c:pt idx="80">
                  <c:v>0.85443366393834763</c:v>
                </c:pt>
                <c:pt idx="81">
                  <c:v>0.52304775436448891</c:v>
                </c:pt>
                <c:pt idx="82">
                  <c:v>0.76652893619289453</c:v>
                </c:pt>
                <c:pt idx="83">
                  <c:v>0.41804663709628709</c:v>
                </c:pt>
                <c:pt idx="84">
                  <c:v>0.89931199347118118</c:v>
                </c:pt>
                <c:pt idx="85">
                  <c:v>0.37226498676703168</c:v>
                </c:pt>
                <c:pt idx="86">
                  <c:v>0.38479944699847007</c:v>
                </c:pt>
                <c:pt idx="87">
                  <c:v>0.37601430176682649</c:v>
                </c:pt>
                <c:pt idx="88">
                  <c:v>0.54957423978481468</c:v>
                </c:pt>
                <c:pt idx="89">
                  <c:v>0.44627380764766428</c:v>
                </c:pt>
                <c:pt idx="90">
                  <c:v>0.50884043407504731</c:v>
                </c:pt>
                <c:pt idx="91">
                  <c:v>0.66229907886707051</c:v>
                </c:pt>
                <c:pt idx="92">
                  <c:v>0.84308337506646214</c:v>
                </c:pt>
                <c:pt idx="93">
                  <c:v>0.74140889376172603</c:v>
                </c:pt>
                <c:pt idx="94">
                  <c:v>0.36443633151377608</c:v>
                </c:pt>
                <c:pt idx="95">
                  <c:v>0.4652064586147398</c:v>
                </c:pt>
                <c:pt idx="96">
                  <c:v>0.37780105002636688</c:v>
                </c:pt>
                <c:pt idx="97">
                  <c:v>0.51879691353610347</c:v>
                </c:pt>
                <c:pt idx="98">
                  <c:v>0.38737666805601612</c:v>
                </c:pt>
                <c:pt idx="99">
                  <c:v>0.50219311314351334</c:v>
                </c:pt>
                <c:pt idx="100">
                  <c:v>0.37477967269433088</c:v>
                </c:pt>
                <c:pt idx="101">
                  <c:v>0.41077396951857359</c:v>
                </c:pt>
                <c:pt idx="102">
                  <c:v>0.59412662643901271</c:v>
                </c:pt>
                <c:pt idx="103">
                  <c:v>0.5754304709039082</c:v>
                </c:pt>
                <c:pt idx="104">
                  <c:v>0.65646211861144355</c:v>
                </c:pt>
                <c:pt idx="105">
                  <c:v>0.65768316972727414</c:v>
                </c:pt>
                <c:pt idx="106">
                  <c:v>0.79560005800998912</c:v>
                </c:pt>
                <c:pt idx="107">
                  <c:v>0.49797023230172022</c:v>
                </c:pt>
                <c:pt idx="108">
                  <c:v>0.66047464906016184</c:v>
                </c:pt>
                <c:pt idx="109">
                  <c:v>0.47544196233058977</c:v>
                </c:pt>
                <c:pt idx="110">
                  <c:v>0.42051762537220322</c:v>
                </c:pt>
                <c:pt idx="111">
                  <c:v>0.47634224502734213</c:v>
                </c:pt>
                <c:pt idx="112">
                  <c:v>0.54169092262751373</c:v>
                </c:pt>
                <c:pt idx="113">
                  <c:v>0.56709068040631649</c:v>
                </c:pt>
                <c:pt idx="114">
                  <c:v>0.52796488938131625</c:v>
                </c:pt>
                <c:pt idx="115">
                  <c:v>0.43041988497058781</c:v>
                </c:pt>
                <c:pt idx="116">
                  <c:v>0.46823952256539558</c:v>
                </c:pt>
                <c:pt idx="117">
                  <c:v>0.47794791261416208</c:v>
                </c:pt>
                <c:pt idx="118">
                  <c:v>0.49290239797995372</c:v>
                </c:pt>
                <c:pt idx="119">
                  <c:v>0.69596990353526222</c:v>
                </c:pt>
                <c:pt idx="120">
                  <c:v>0.39488524227189042</c:v>
                </c:pt>
                <c:pt idx="121">
                  <c:v>0.47787272865420638</c:v>
                </c:pt>
                <c:pt idx="122">
                  <c:v>0.42889313111913352</c:v>
                </c:pt>
                <c:pt idx="123">
                  <c:v>0.52302924778985693</c:v>
                </c:pt>
                <c:pt idx="124">
                  <c:v>0.57667143084760197</c:v>
                </c:pt>
                <c:pt idx="125">
                  <c:v>0.42899180896383587</c:v>
                </c:pt>
                <c:pt idx="126">
                  <c:v>0.44601601213380843</c:v>
                </c:pt>
                <c:pt idx="127">
                  <c:v>0.37553846609882519</c:v>
                </c:pt>
                <c:pt idx="128">
                  <c:v>0.59985820636935139</c:v>
                </c:pt>
                <c:pt idx="129">
                  <c:v>0.53848705119736462</c:v>
                </c:pt>
                <c:pt idx="130">
                  <c:v>0.63273350202314915</c:v>
                </c:pt>
                <c:pt idx="131">
                  <c:v>0.75080428815478173</c:v>
                </c:pt>
                <c:pt idx="132">
                  <c:v>0.64428759110124734</c:v>
                </c:pt>
                <c:pt idx="133">
                  <c:v>0.58678303441002366</c:v>
                </c:pt>
                <c:pt idx="134">
                  <c:v>0.50431290507504811</c:v>
                </c:pt>
                <c:pt idx="135">
                  <c:v>0.70395331046938281</c:v>
                </c:pt>
                <c:pt idx="136">
                  <c:v>0.63260583408146709</c:v>
                </c:pt>
                <c:pt idx="137">
                  <c:v>0.71244685290575671</c:v>
                </c:pt>
                <c:pt idx="138">
                  <c:v>0.61516241216400336</c:v>
                </c:pt>
                <c:pt idx="139">
                  <c:v>0.62418955267529463</c:v>
                </c:pt>
                <c:pt idx="140">
                  <c:v>0.45608775540731228</c:v>
                </c:pt>
                <c:pt idx="141">
                  <c:v>0.50523394851192993</c:v>
                </c:pt>
                <c:pt idx="142">
                  <c:v>0.52156112741798444</c:v>
                </c:pt>
                <c:pt idx="143">
                  <c:v>0.45858395315965289</c:v>
                </c:pt>
                <c:pt idx="144">
                  <c:v>0.49386515953610299</c:v>
                </c:pt>
                <c:pt idx="145">
                  <c:v>0.45286894161986169</c:v>
                </c:pt>
                <c:pt idx="146">
                  <c:v>0.55974094223797299</c:v>
                </c:pt>
                <c:pt idx="147">
                  <c:v>0.47451338209236887</c:v>
                </c:pt>
                <c:pt idx="148">
                  <c:v>0.41648088222923768</c:v>
                </c:pt>
                <c:pt idx="149">
                  <c:v>0.49444661565086462</c:v>
                </c:pt>
                <c:pt idx="150">
                  <c:v>0.42128492299181097</c:v>
                </c:pt>
                <c:pt idx="151">
                  <c:v>0.73352299591924186</c:v>
                </c:pt>
                <c:pt idx="152">
                  <c:v>0.43274234568308723</c:v>
                </c:pt>
                <c:pt idx="153">
                  <c:v>0.52041210263887039</c:v>
                </c:pt>
                <c:pt idx="154">
                  <c:v>0.41579192278361621</c:v>
                </c:pt>
                <c:pt idx="155">
                  <c:v>0.28623510114465262</c:v>
                </c:pt>
                <c:pt idx="156">
                  <c:v>0.71845778722101694</c:v>
                </c:pt>
                <c:pt idx="157">
                  <c:v>0.3182625590165406</c:v>
                </c:pt>
                <c:pt idx="158">
                  <c:v>0.28667841177805509</c:v>
                </c:pt>
                <c:pt idx="159">
                  <c:v>0.33209263258878541</c:v>
                </c:pt>
                <c:pt idx="160">
                  <c:v>0.35756349943901322</c:v>
                </c:pt>
                <c:pt idx="161">
                  <c:v>0.35896258014389981</c:v>
                </c:pt>
                <c:pt idx="162">
                  <c:v>0.61304801318772928</c:v>
                </c:pt>
                <c:pt idx="163">
                  <c:v>0.55931980404332848</c:v>
                </c:pt>
                <c:pt idx="164">
                  <c:v>0.81113217303733587</c:v>
                </c:pt>
                <c:pt idx="165">
                  <c:v>0.2669533307775741</c:v>
                </c:pt>
                <c:pt idx="166">
                  <c:v>0.30462350202400651</c:v>
                </c:pt>
                <c:pt idx="167">
                  <c:v>0.41735142396681052</c:v>
                </c:pt>
                <c:pt idx="168">
                  <c:v>0.48625530067683181</c:v>
                </c:pt>
                <c:pt idx="169">
                  <c:v>0.44458277238685501</c:v>
                </c:pt>
                <c:pt idx="170">
                  <c:v>0.5847029182148149</c:v>
                </c:pt>
                <c:pt idx="171">
                  <c:v>0.5214642864421315</c:v>
                </c:pt>
                <c:pt idx="172">
                  <c:v>0.6403201313967436</c:v>
                </c:pt>
                <c:pt idx="173">
                  <c:v>0.45161486470560402</c:v>
                </c:pt>
                <c:pt idx="174">
                  <c:v>0.52338010167428928</c:v>
                </c:pt>
                <c:pt idx="175">
                  <c:v>0.41315513305651169</c:v>
                </c:pt>
                <c:pt idx="176">
                  <c:v>0.47763184616490229</c:v>
                </c:pt>
                <c:pt idx="177">
                  <c:v>0.41561333628925362</c:v>
                </c:pt>
                <c:pt idx="178">
                  <c:v>0.37140610036303467</c:v>
                </c:pt>
                <c:pt idx="179">
                  <c:v>0.40220348197744799</c:v>
                </c:pt>
                <c:pt idx="180">
                  <c:v>0.64828211242714795</c:v>
                </c:pt>
                <c:pt idx="181">
                  <c:v>0.43057727480991331</c:v>
                </c:pt>
                <c:pt idx="182">
                  <c:v>0.34591205719919682</c:v>
                </c:pt>
                <c:pt idx="183">
                  <c:v>0.35982308376841737</c:v>
                </c:pt>
                <c:pt idx="184">
                  <c:v>0.39241641573316199</c:v>
                </c:pt>
                <c:pt idx="185">
                  <c:v>0.41630903279471032</c:v>
                </c:pt>
                <c:pt idx="186">
                  <c:v>0.35633569288741951</c:v>
                </c:pt>
                <c:pt idx="187">
                  <c:v>0.59783363606312978</c:v>
                </c:pt>
                <c:pt idx="188">
                  <c:v>0.78305831835210871</c:v>
                </c:pt>
                <c:pt idx="189">
                  <c:v>0.23525418601533199</c:v>
                </c:pt>
                <c:pt idx="190">
                  <c:v>0.27328695204299069</c:v>
                </c:pt>
                <c:pt idx="191">
                  <c:v>0.50301302213882371</c:v>
                </c:pt>
                <c:pt idx="192">
                  <c:v>0.25789135087492671</c:v>
                </c:pt>
                <c:pt idx="193">
                  <c:v>0.34776982326478878</c:v>
                </c:pt>
                <c:pt idx="194">
                  <c:v>0.19672122896831251</c:v>
                </c:pt>
                <c:pt idx="195">
                  <c:v>0.37378318030312008</c:v>
                </c:pt>
                <c:pt idx="196">
                  <c:v>0.75803102728940353</c:v>
                </c:pt>
                <c:pt idx="197">
                  <c:v>0.57530763378722638</c:v>
                </c:pt>
                <c:pt idx="198">
                  <c:v>0.68064016841336938</c:v>
                </c:pt>
                <c:pt idx="199">
                  <c:v>0.44821658489176108</c:v>
                </c:pt>
                <c:pt idx="200">
                  <c:v>0.44306396493933892</c:v>
                </c:pt>
                <c:pt idx="201">
                  <c:v>0.47420913164235229</c:v>
                </c:pt>
                <c:pt idx="202">
                  <c:v>0.51862750017427373</c:v>
                </c:pt>
                <c:pt idx="203">
                  <c:v>0.47526373998676202</c:v>
                </c:pt>
                <c:pt idx="204">
                  <c:v>0.63780329791790891</c:v>
                </c:pt>
                <c:pt idx="205">
                  <c:v>0.59505584426712832</c:v>
                </c:pt>
                <c:pt idx="206">
                  <c:v>0.63528158908340926</c:v>
                </c:pt>
                <c:pt idx="207">
                  <c:v>0.58677019562368338</c:v>
                </c:pt>
                <c:pt idx="208">
                  <c:v>0.36551123272317793</c:v>
                </c:pt>
                <c:pt idx="209">
                  <c:v>0.43973677259687582</c:v>
                </c:pt>
                <c:pt idx="210">
                  <c:v>0.48816324580052972</c:v>
                </c:pt>
                <c:pt idx="211">
                  <c:v>0.44685229297709211</c:v>
                </c:pt>
                <c:pt idx="212">
                  <c:v>0.40618778947019463</c:v>
                </c:pt>
                <c:pt idx="213">
                  <c:v>0.33050519273884932</c:v>
                </c:pt>
                <c:pt idx="214">
                  <c:v>0.50224020371841638</c:v>
                </c:pt>
                <c:pt idx="215">
                  <c:v>0.30658490851062598</c:v>
                </c:pt>
                <c:pt idx="216">
                  <c:v>0.36502321751922279</c:v>
                </c:pt>
                <c:pt idx="217">
                  <c:v>0.50955763247133812</c:v>
                </c:pt>
                <c:pt idx="218">
                  <c:v>0.48164578642127798</c:v>
                </c:pt>
                <c:pt idx="219">
                  <c:v>0.37695151139042921</c:v>
                </c:pt>
                <c:pt idx="220">
                  <c:v>0.55480186261004749</c:v>
                </c:pt>
                <c:pt idx="221">
                  <c:v>0.37299087639744272</c:v>
                </c:pt>
                <c:pt idx="222">
                  <c:v>0.16134567490005369</c:v>
                </c:pt>
                <c:pt idx="223">
                  <c:v>0.51609880928158169</c:v>
                </c:pt>
                <c:pt idx="224">
                  <c:v>0.52443782631879821</c:v>
                </c:pt>
                <c:pt idx="225">
                  <c:v>0.58560751448712522</c:v>
                </c:pt>
                <c:pt idx="226">
                  <c:v>0.46548953757131678</c:v>
                </c:pt>
                <c:pt idx="227">
                  <c:v>0.60038047094926505</c:v>
                </c:pt>
                <c:pt idx="228">
                  <c:v>0.1707845273051608</c:v>
                </c:pt>
                <c:pt idx="229">
                  <c:v>0.60263422497734676</c:v>
                </c:pt>
                <c:pt idx="230">
                  <c:v>0.56664250739446853</c:v>
                </c:pt>
                <c:pt idx="231">
                  <c:v>0.5542982037059212</c:v>
                </c:pt>
                <c:pt idx="232">
                  <c:v>0.47688878290500009</c:v>
                </c:pt>
                <c:pt idx="233">
                  <c:v>0.30035088832481011</c:v>
                </c:pt>
                <c:pt idx="234">
                  <c:v>0.36984629833047228</c:v>
                </c:pt>
                <c:pt idx="235">
                  <c:v>0.54343500890418295</c:v>
                </c:pt>
                <c:pt idx="236">
                  <c:v>0.51617338544320057</c:v>
                </c:pt>
                <c:pt idx="237">
                  <c:v>0.46638163584106163</c:v>
                </c:pt>
                <c:pt idx="238">
                  <c:v>0.13529376045531091</c:v>
                </c:pt>
                <c:pt idx="239">
                  <c:v>0.44369822448293289</c:v>
                </c:pt>
                <c:pt idx="240">
                  <c:v>0.3103873979250672</c:v>
                </c:pt>
                <c:pt idx="241">
                  <c:v>0.36725700444894321</c:v>
                </c:pt>
                <c:pt idx="242">
                  <c:v>0.15566755708845659</c:v>
                </c:pt>
                <c:pt idx="243">
                  <c:v>0.39481252147366219</c:v>
                </c:pt>
                <c:pt idx="244">
                  <c:v>0.47977594970724841</c:v>
                </c:pt>
                <c:pt idx="245">
                  <c:v>0.4655157805641138</c:v>
                </c:pt>
                <c:pt idx="246">
                  <c:v>0.57846570163285538</c:v>
                </c:pt>
                <c:pt idx="247">
                  <c:v>0.55852320953099566</c:v>
                </c:pt>
                <c:pt idx="248">
                  <c:v>0.81330836884138269</c:v>
                </c:pt>
                <c:pt idx="249">
                  <c:v>0.17180131922216341</c:v>
                </c:pt>
                <c:pt idx="250">
                  <c:v>0.69145664497104142</c:v>
                </c:pt>
                <c:pt idx="251">
                  <c:v>0.76205001072318856</c:v>
                </c:pt>
                <c:pt idx="252">
                  <c:v>0.71226230429648552</c:v>
                </c:pt>
                <c:pt idx="253">
                  <c:v>0.19622108314961689</c:v>
                </c:pt>
                <c:pt idx="254">
                  <c:v>0.41984825177542912</c:v>
                </c:pt>
                <c:pt idx="255">
                  <c:v>0.40266273861100338</c:v>
                </c:pt>
                <c:pt idx="256">
                  <c:v>0.20786819242448551</c:v>
                </c:pt>
                <c:pt idx="257">
                  <c:v>0.42919323539179388</c:v>
                </c:pt>
                <c:pt idx="258">
                  <c:v>0.49347407392068898</c:v>
                </c:pt>
                <c:pt idx="259">
                  <c:v>0.62686091912652586</c:v>
                </c:pt>
                <c:pt idx="260">
                  <c:v>0.65714837569503282</c:v>
                </c:pt>
                <c:pt idx="261">
                  <c:v>0.1670206821999288</c:v>
                </c:pt>
                <c:pt idx="262">
                  <c:v>0.74740788428599125</c:v>
                </c:pt>
                <c:pt idx="263">
                  <c:v>0.67527920298395439</c:v>
                </c:pt>
                <c:pt idx="264">
                  <c:v>0.58709926990594508</c:v>
                </c:pt>
                <c:pt idx="265">
                  <c:v>0.16440567203609069</c:v>
                </c:pt>
                <c:pt idx="266">
                  <c:v>0.34776726625166787</c:v>
                </c:pt>
                <c:pt idx="267">
                  <c:v>0.34231517561598018</c:v>
                </c:pt>
                <c:pt idx="268">
                  <c:v>0.52889411249703611</c:v>
                </c:pt>
                <c:pt idx="269">
                  <c:v>0.78223662920016324</c:v>
                </c:pt>
                <c:pt idx="270">
                  <c:v>0.27311003195332723</c:v>
                </c:pt>
                <c:pt idx="271">
                  <c:v>0.63415557421889723</c:v>
                </c:pt>
                <c:pt idx="272">
                  <c:v>0.62437432797528725</c:v>
                </c:pt>
                <c:pt idx="273">
                  <c:v>0.24079649550767129</c:v>
                </c:pt>
                <c:pt idx="274">
                  <c:v>0.48956498819966932</c:v>
                </c:pt>
                <c:pt idx="275">
                  <c:v>8.4458622385350957E-2</c:v>
                </c:pt>
                <c:pt idx="276">
                  <c:v>0.64234369335159602</c:v>
                </c:pt>
                <c:pt idx="277">
                  <c:v>0.70204597811353231</c:v>
                </c:pt>
                <c:pt idx="278">
                  <c:v>0.44535841238372359</c:v>
                </c:pt>
                <c:pt idx="279">
                  <c:v>7.4563506311372332E-2</c:v>
                </c:pt>
              </c:numCache>
            </c:numRef>
          </c:xVal>
          <c:yVal>
            <c:numRef>
              <c:f>'Paul dataset'!$AJ$2:$AJ$281</c:f>
              <c:numCache>
                <c:formatCode>General</c:formatCode>
                <c:ptCount val="280"/>
                <c:pt idx="0">
                  <c:v>0.48878356814384399</c:v>
                </c:pt>
                <c:pt idx="1">
                  <c:v>1.0043464899063099</c:v>
                </c:pt>
                <c:pt idx="2">
                  <c:v>0.49537673592567399</c:v>
                </c:pt>
                <c:pt idx="3">
                  <c:v>0.503012955188751</c:v>
                </c:pt>
                <c:pt idx="4">
                  <c:v>0.60517007112502996</c:v>
                </c:pt>
                <c:pt idx="5">
                  <c:v>0.66592907905578602</c:v>
                </c:pt>
                <c:pt idx="6">
                  <c:v>0.80435281991958596</c:v>
                </c:pt>
                <c:pt idx="7">
                  <c:v>0.98296469449996904</c:v>
                </c:pt>
                <c:pt idx="8">
                  <c:v>0.64519792795181197</c:v>
                </c:pt>
                <c:pt idx="9">
                  <c:v>0.57788151502609197</c:v>
                </c:pt>
                <c:pt idx="10">
                  <c:v>0.63328742980956998</c:v>
                </c:pt>
                <c:pt idx="11">
                  <c:v>0.79291415214538497</c:v>
                </c:pt>
                <c:pt idx="12">
                  <c:v>0.54585736989974898</c:v>
                </c:pt>
                <c:pt idx="13">
                  <c:v>0.59104990959167403</c:v>
                </c:pt>
                <c:pt idx="14">
                  <c:v>0.68813019990920998</c:v>
                </c:pt>
                <c:pt idx="15">
                  <c:v>0.67971926927566495</c:v>
                </c:pt>
                <c:pt idx="16">
                  <c:v>0.78650760650634699</c:v>
                </c:pt>
                <c:pt idx="17">
                  <c:v>0.77093344926834095</c:v>
                </c:pt>
                <c:pt idx="18">
                  <c:v>0.84086114168167103</c:v>
                </c:pt>
                <c:pt idx="19">
                  <c:v>0.69458967447280795</c:v>
                </c:pt>
                <c:pt idx="20">
                  <c:v>0.77894288301467896</c:v>
                </c:pt>
                <c:pt idx="21">
                  <c:v>0.78349143266677801</c:v>
                </c:pt>
                <c:pt idx="22">
                  <c:v>0.73574954271316495</c:v>
                </c:pt>
                <c:pt idx="23">
                  <c:v>0.75271153450012196</c:v>
                </c:pt>
                <c:pt idx="24">
                  <c:v>0.64514249563217096</c:v>
                </c:pt>
                <c:pt idx="25">
                  <c:v>0.68422555923461903</c:v>
                </c:pt>
                <c:pt idx="26">
                  <c:v>0.51432126760482699</c:v>
                </c:pt>
                <c:pt idx="27">
                  <c:v>0.77281719446182195</c:v>
                </c:pt>
                <c:pt idx="28">
                  <c:v>0.66696429252624501</c:v>
                </c:pt>
                <c:pt idx="29">
                  <c:v>0.68522185087203902</c:v>
                </c:pt>
                <c:pt idx="30">
                  <c:v>0.58820879459381104</c:v>
                </c:pt>
                <c:pt idx="31">
                  <c:v>0.64905446767806996</c:v>
                </c:pt>
                <c:pt idx="32">
                  <c:v>0.67631191015243497</c:v>
                </c:pt>
                <c:pt idx="33">
                  <c:v>0.74853634834289495</c:v>
                </c:pt>
                <c:pt idx="34">
                  <c:v>0.50625920295715299</c:v>
                </c:pt>
                <c:pt idx="35">
                  <c:v>0.58183574676513605</c:v>
                </c:pt>
                <c:pt idx="36">
                  <c:v>0.58367550373077304</c:v>
                </c:pt>
                <c:pt idx="37">
                  <c:v>0.76141995191574097</c:v>
                </c:pt>
                <c:pt idx="38">
                  <c:v>0.66626840829849199</c:v>
                </c:pt>
                <c:pt idx="39">
                  <c:v>0.679582118988037</c:v>
                </c:pt>
                <c:pt idx="40">
                  <c:v>0.54704499244689897</c:v>
                </c:pt>
                <c:pt idx="41">
                  <c:v>0.718927562236785</c:v>
                </c:pt>
                <c:pt idx="42">
                  <c:v>0.68065756559371904</c:v>
                </c:pt>
                <c:pt idx="43">
                  <c:v>0.60052269697189298</c:v>
                </c:pt>
                <c:pt idx="44">
                  <c:v>0.68083953857421797</c:v>
                </c:pt>
                <c:pt idx="45">
                  <c:v>0.78093194961547796</c:v>
                </c:pt>
                <c:pt idx="46">
                  <c:v>0.59874624013900701</c:v>
                </c:pt>
                <c:pt idx="47">
                  <c:v>0.54831391572952204</c:v>
                </c:pt>
                <c:pt idx="48">
                  <c:v>0.68408060073852495</c:v>
                </c:pt>
                <c:pt idx="49">
                  <c:v>0.78746503591537398</c:v>
                </c:pt>
                <c:pt idx="50">
                  <c:v>0.68077915906906095</c:v>
                </c:pt>
                <c:pt idx="51">
                  <c:v>0.68417930603027299</c:v>
                </c:pt>
                <c:pt idx="52">
                  <c:v>0.65527278184890703</c:v>
                </c:pt>
                <c:pt idx="53">
                  <c:v>0.67349213361740101</c:v>
                </c:pt>
                <c:pt idx="54">
                  <c:v>0.55106085538864102</c:v>
                </c:pt>
                <c:pt idx="55">
                  <c:v>0.60190731287002497</c:v>
                </c:pt>
                <c:pt idx="56">
                  <c:v>0.585840284824371</c:v>
                </c:pt>
                <c:pt idx="57">
                  <c:v>0.53301501274108798</c:v>
                </c:pt>
                <c:pt idx="58">
                  <c:v>0.51149016618728604</c:v>
                </c:pt>
                <c:pt idx="59">
                  <c:v>0.48408150672912598</c:v>
                </c:pt>
                <c:pt idx="60">
                  <c:v>0.535361588001251</c:v>
                </c:pt>
                <c:pt idx="61">
                  <c:v>0.59635633230209295</c:v>
                </c:pt>
                <c:pt idx="62">
                  <c:v>0.51607811450958196</c:v>
                </c:pt>
                <c:pt idx="63">
                  <c:v>0.51979851722717196</c:v>
                </c:pt>
                <c:pt idx="64">
                  <c:v>0.87119430303573597</c:v>
                </c:pt>
                <c:pt idx="65">
                  <c:v>0.59333968162536599</c:v>
                </c:pt>
                <c:pt idx="66">
                  <c:v>0.52322441339492798</c:v>
                </c:pt>
                <c:pt idx="67">
                  <c:v>0.64938896894454901</c:v>
                </c:pt>
                <c:pt idx="68">
                  <c:v>0.65572088956832797</c:v>
                </c:pt>
                <c:pt idx="69">
                  <c:v>0.48364290595054599</c:v>
                </c:pt>
                <c:pt idx="70">
                  <c:v>0.46255299448966902</c:v>
                </c:pt>
                <c:pt idx="71">
                  <c:v>0.45236679911613398</c:v>
                </c:pt>
                <c:pt idx="72">
                  <c:v>0.53899616003036499</c:v>
                </c:pt>
                <c:pt idx="73">
                  <c:v>0.560688316822052</c:v>
                </c:pt>
                <c:pt idx="74">
                  <c:v>0.51819223165511996</c:v>
                </c:pt>
                <c:pt idx="75">
                  <c:v>0.5816011428833</c:v>
                </c:pt>
                <c:pt idx="76">
                  <c:v>0.61602473258972101</c:v>
                </c:pt>
                <c:pt idx="77">
                  <c:v>0.53999030590057295</c:v>
                </c:pt>
                <c:pt idx="78">
                  <c:v>0.46224927902221602</c:v>
                </c:pt>
                <c:pt idx="79">
                  <c:v>0.42873629927635099</c:v>
                </c:pt>
                <c:pt idx="80">
                  <c:v>0.84393721818923895</c:v>
                </c:pt>
                <c:pt idx="81">
                  <c:v>0.51728367805480902</c:v>
                </c:pt>
                <c:pt idx="82">
                  <c:v>0.76081055402755704</c:v>
                </c:pt>
                <c:pt idx="83">
                  <c:v>0.41982278227806002</c:v>
                </c:pt>
                <c:pt idx="84">
                  <c:v>0.85370296239852905</c:v>
                </c:pt>
                <c:pt idx="85">
                  <c:v>0.39548039436340299</c:v>
                </c:pt>
                <c:pt idx="86">
                  <c:v>0.39739832282066301</c:v>
                </c:pt>
                <c:pt idx="87">
                  <c:v>0.40471777319908098</c:v>
                </c:pt>
                <c:pt idx="88">
                  <c:v>0.52998423576354903</c:v>
                </c:pt>
                <c:pt idx="89">
                  <c:v>0.44988337159156799</c:v>
                </c:pt>
                <c:pt idx="90">
                  <c:v>0.48492732644081099</c:v>
                </c:pt>
                <c:pt idx="91">
                  <c:v>0.63781476020812899</c:v>
                </c:pt>
                <c:pt idx="92">
                  <c:v>0.773431956768035</c:v>
                </c:pt>
                <c:pt idx="93">
                  <c:v>0.79428631067276001</c:v>
                </c:pt>
                <c:pt idx="94">
                  <c:v>0.38140663504600503</c:v>
                </c:pt>
                <c:pt idx="95">
                  <c:v>0.45734548568725503</c:v>
                </c:pt>
                <c:pt idx="96">
                  <c:v>0.39353060722351002</c:v>
                </c:pt>
                <c:pt idx="97">
                  <c:v>0.49169740080833402</c:v>
                </c:pt>
                <c:pt idx="98">
                  <c:v>0.419856637716293</c:v>
                </c:pt>
                <c:pt idx="99">
                  <c:v>0.514548480510711</c:v>
                </c:pt>
                <c:pt idx="100">
                  <c:v>0.39760312438011097</c:v>
                </c:pt>
                <c:pt idx="101">
                  <c:v>0.41235306859016402</c:v>
                </c:pt>
                <c:pt idx="102">
                  <c:v>0.58554601669311501</c:v>
                </c:pt>
                <c:pt idx="103">
                  <c:v>0.56741786003112704</c:v>
                </c:pt>
                <c:pt idx="104">
                  <c:v>0.656410992145538</c:v>
                </c:pt>
                <c:pt idx="105">
                  <c:v>0.65662509202957098</c:v>
                </c:pt>
                <c:pt idx="106">
                  <c:v>0.73003143072128296</c:v>
                </c:pt>
                <c:pt idx="107">
                  <c:v>0.50455445051193204</c:v>
                </c:pt>
                <c:pt idx="108">
                  <c:v>0.653483986854553</c:v>
                </c:pt>
                <c:pt idx="109">
                  <c:v>0.46585205197334201</c:v>
                </c:pt>
                <c:pt idx="110">
                  <c:v>0.42838534712791398</c:v>
                </c:pt>
                <c:pt idx="111">
                  <c:v>0.46853014826774497</c:v>
                </c:pt>
                <c:pt idx="112">
                  <c:v>0.50081127882003695</c:v>
                </c:pt>
                <c:pt idx="113">
                  <c:v>0.56160247325897195</c:v>
                </c:pt>
                <c:pt idx="114">
                  <c:v>0.52485954761505105</c:v>
                </c:pt>
                <c:pt idx="115">
                  <c:v>0.43525123596191401</c:v>
                </c:pt>
                <c:pt idx="116">
                  <c:v>0.46626400947570801</c:v>
                </c:pt>
                <c:pt idx="117">
                  <c:v>0.47637322545051503</c:v>
                </c:pt>
                <c:pt idx="118">
                  <c:v>0.50023913383483798</c:v>
                </c:pt>
                <c:pt idx="119">
                  <c:v>0.65994554758071899</c:v>
                </c:pt>
                <c:pt idx="120">
                  <c:v>0.40627095103263799</c:v>
                </c:pt>
                <c:pt idx="121">
                  <c:v>0.477410078048706</c:v>
                </c:pt>
                <c:pt idx="122">
                  <c:v>0.430082768201828</c:v>
                </c:pt>
                <c:pt idx="123">
                  <c:v>0.52982997894287098</c:v>
                </c:pt>
                <c:pt idx="124">
                  <c:v>0.57126468420028598</c:v>
                </c:pt>
                <c:pt idx="125">
                  <c:v>0.44892194867134</c:v>
                </c:pt>
                <c:pt idx="126">
                  <c:v>0.452151209115982</c:v>
                </c:pt>
                <c:pt idx="127">
                  <c:v>0.37275075912475503</c:v>
                </c:pt>
                <c:pt idx="128">
                  <c:v>0.59943956136703402</c:v>
                </c:pt>
                <c:pt idx="129">
                  <c:v>0.51320356130599898</c:v>
                </c:pt>
                <c:pt idx="130">
                  <c:v>0.63359552621841397</c:v>
                </c:pt>
                <c:pt idx="131">
                  <c:v>0.70538300275802601</c:v>
                </c:pt>
                <c:pt idx="132">
                  <c:v>0.63288325071334794</c:v>
                </c:pt>
                <c:pt idx="133">
                  <c:v>0.539184510707855</c:v>
                </c:pt>
                <c:pt idx="134">
                  <c:v>0.49492201209068298</c:v>
                </c:pt>
                <c:pt idx="135">
                  <c:v>0.67040014266967696</c:v>
                </c:pt>
                <c:pt idx="136">
                  <c:v>0.61514240503311102</c:v>
                </c:pt>
                <c:pt idx="137">
                  <c:v>0.69969010353088301</c:v>
                </c:pt>
                <c:pt idx="138">
                  <c:v>0.61512720584869296</c:v>
                </c:pt>
                <c:pt idx="139">
                  <c:v>0.61657685041427601</c:v>
                </c:pt>
                <c:pt idx="140">
                  <c:v>0.45463624596595698</c:v>
                </c:pt>
                <c:pt idx="141">
                  <c:v>0.49226066470146101</c:v>
                </c:pt>
                <c:pt idx="142">
                  <c:v>0.512090623378753</c:v>
                </c:pt>
                <c:pt idx="143">
                  <c:v>0.47259190678596402</c:v>
                </c:pt>
                <c:pt idx="144">
                  <c:v>0.47937199473380998</c:v>
                </c:pt>
                <c:pt idx="145">
                  <c:v>0.42850482463836598</c:v>
                </c:pt>
                <c:pt idx="146">
                  <c:v>0.53146380186080899</c:v>
                </c:pt>
                <c:pt idx="147">
                  <c:v>0.46066507697105402</c:v>
                </c:pt>
                <c:pt idx="148">
                  <c:v>0.40430036187171903</c:v>
                </c:pt>
                <c:pt idx="149">
                  <c:v>0.492398291826248</c:v>
                </c:pt>
                <c:pt idx="150">
                  <c:v>0.457874655723571</c:v>
                </c:pt>
                <c:pt idx="151">
                  <c:v>0.65832734107971103</c:v>
                </c:pt>
                <c:pt idx="152">
                  <c:v>0.43938276171684199</c:v>
                </c:pt>
                <c:pt idx="153">
                  <c:v>0.49851274490356401</c:v>
                </c:pt>
                <c:pt idx="154">
                  <c:v>0.41932058334350503</c:v>
                </c:pt>
                <c:pt idx="155">
                  <c:v>0.31573247909545898</c:v>
                </c:pt>
                <c:pt idx="156">
                  <c:v>0.71777254343032804</c:v>
                </c:pt>
                <c:pt idx="157">
                  <c:v>0.327607721090316</c:v>
                </c:pt>
                <c:pt idx="158">
                  <c:v>0.29396137595176602</c:v>
                </c:pt>
                <c:pt idx="159">
                  <c:v>0.33763226866722101</c:v>
                </c:pt>
                <c:pt idx="160">
                  <c:v>0.36540687084197998</c:v>
                </c:pt>
                <c:pt idx="161">
                  <c:v>0.37176898121833801</c:v>
                </c:pt>
                <c:pt idx="162">
                  <c:v>0.58460402488708496</c:v>
                </c:pt>
                <c:pt idx="163">
                  <c:v>0.58056461811065596</c:v>
                </c:pt>
                <c:pt idx="164">
                  <c:v>0.76342612504959095</c:v>
                </c:pt>
                <c:pt idx="165">
                  <c:v>0.26270005106925898</c:v>
                </c:pt>
                <c:pt idx="166">
                  <c:v>0.30831953883170998</c:v>
                </c:pt>
                <c:pt idx="167">
                  <c:v>0.39904427528381298</c:v>
                </c:pt>
                <c:pt idx="168">
                  <c:v>0.48505553603172302</c:v>
                </c:pt>
                <c:pt idx="169">
                  <c:v>0.43755653500556901</c:v>
                </c:pt>
                <c:pt idx="170">
                  <c:v>0.55991828441619795</c:v>
                </c:pt>
                <c:pt idx="171">
                  <c:v>0.54152411222457797</c:v>
                </c:pt>
                <c:pt idx="172">
                  <c:v>0.62999266386032104</c:v>
                </c:pt>
                <c:pt idx="173">
                  <c:v>0.45656278729438698</c:v>
                </c:pt>
                <c:pt idx="174">
                  <c:v>0.55582880973815896</c:v>
                </c:pt>
                <c:pt idx="175">
                  <c:v>0.42467525601387002</c:v>
                </c:pt>
                <c:pt idx="176">
                  <c:v>0.466903686523437</c:v>
                </c:pt>
                <c:pt idx="177">
                  <c:v>0.40949419140815702</c:v>
                </c:pt>
                <c:pt idx="178">
                  <c:v>0.372385114431381</c:v>
                </c:pt>
                <c:pt idx="179">
                  <c:v>0.39693900942802401</c:v>
                </c:pt>
                <c:pt idx="180">
                  <c:v>0.60060578584670998</c:v>
                </c:pt>
                <c:pt idx="181">
                  <c:v>0.42767372727394098</c:v>
                </c:pt>
                <c:pt idx="182">
                  <c:v>0.35834184288978499</c:v>
                </c:pt>
                <c:pt idx="183">
                  <c:v>0.37720385193824701</c:v>
                </c:pt>
                <c:pt idx="184">
                  <c:v>0.39633858203887901</c:v>
                </c:pt>
                <c:pt idx="185">
                  <c:v>0.42659330368041898</c:v>
                </c:pt>
                <c:pt idx="186">
                  <c:v>0.39854097366333002</c:v>
                </c:pt>
                <c:pt idx="187">
                  <c:v>0.61176013946533203</c:v>
                </c:pt>
                <c:pt idx="188">
                  <c:v>0.68169498443603505</c:v>
                </c:pt>
                <c:pt idx="189">
                  <c:v>0.258729368448257</c:v>
                </c:pt>
                <c:pt idx="190">
                  <c:v>0.30695417523384</c:v>
                </c:pt>
                <c:pt idx="191">
                  <c:v>0.49777969717979398</c:v>
                </c:pt>
                <c:pt idx="192">
                  <c:v>0.27767580747604298</c:v>
                </c:pt>
                <c:pt idx="193">
                  <c:v>0.35387423634529103</c:v>
                </c:pt>
                <c:pt idx="194">
                  <c:v>0.211017370223999</c:v>
                </c:pt>
                <c:pt idx="195">
                  <c:v>0.409280896186828</c:v>
                </c:pt>
                <c:pt idx="196">
                  <c:v>0.70320624113082797</c:v>
                </c:pt>
                <c:pt idx="197">
                  <c:v>0.57043474912643399</c:v>
                </c:pt>
                <c:pt idx="198">
                  <c:v>0.66494292020797696</c:v>
                </c:pt>
                <c:pt idx="199">
                  <c:v>0.449429541826248</c:v>
                </c:pt>
                <c:pt idx="200">
                  <c:v>0.418155908584594</c:v>
                </c:pt>
                <c:pt idx="201">
                  <c:v>0.46620368957519498</c:v>
                </c:pt>
                <c:pt idx="202">
                  <c:v>0.50122183561324996</c:v>
                </c:pt>
                <c:pt idx="203">
                  <c:v>0.46466812491416898</c:v>
                </c:pt>
                <c:pt idx="204">
                  <c:v>0.61744469404220503</c:v>
                </c:pt>
                <c:pt idx="205">
                  <c:v>0.61066323518752996</c:v>
                </c:pt>
                <c:pt idx="206">
                  <c:v>0.63482242822647095</c:v>
                </c:pt>
                <c:pt idx="207">
                  <c:v>0.56449645757675104</c:v>
                </c:pt>
                <c:pt idx="208">
                  <c:v>0.37134027481079102</c:v>
                </c:pt>
                <c:pt idx="209">
                  <c:v>0.43342623114585799</c:v>
                </c:pt>
                <c:pt idx="210">
                  <c:v>0.47693410515785201</c:v>
                </c:pt>
                <c:pt idx="211">
                  <c:v>0.44896730780601501</c:v>
                </c:pt>
                <c:pt idx="212">
                  <c:v>0.39717712998390198</c:v>
                </c:pt>
                <c:pt idx="213">
                  <c:v>0.360258549451828</c:v>
                </c:pt>
                <c:pt idx="214">
                  <c:v>0.47430360317230202</c:v>
                </c:pt>
                <c:pt idx="215">
                  <c:v>0.32267081737518299</c:v>
                </c:pt>
                <c:pt idx="216">
                  <c:v>0.37541243433952298</c:v>
                </c:pt>
                <c:pt idx="217">
                  <c:v>0.47374185919761602</c:v>
                </c:pt>
                <c:pt idx="218">
                  <c:v>0.46508812904357899</c:v>
                </c:pt>
                <c:pt idx="219">
                  <c:v>0.38983622193336398</c:v>
                </c:pt>
                <c:pt idx="220">
                  <c:v>0.52045029401779097</c:v>
                </c:pt>
                <c:pt idx="221">
                  <c:v>0.39036408066749501</c:v>
                </c:pt>
                <c:pt idx="222">
                  <c:v>0.171278581023216</c:v>
                </c:pt>
                <c:pt idx="223">
                  <c:v>0.50689196586608798</c:v>
                </c:pt>
                <c:pt idx="224">
                  <c:v>0.49884358048438998</c:v>
                </c:pt>
                <c:pt idx="225">
                  <c:v>0.571863412857055</c:v>
                </c:pt>
                <c:pt idx="226">
                  <c:v>0.50631380081176702</c:v>
                </c:pt>
                <c:pt idx="227">
                  <c:v>0.60244745016098</c:v>
                </c:pt>
                <c:pt idx="228">
                  <c:v>0.205364480614662</c:v>
                </c:pt>
                <c:pt idx="229">
                  <c:v>0.59491443634033203</c:v>
                </c:pt>
                <c:pt idx="230">
                  <c:v>0.53854048252105702</c:v>
                </c:pt>
                <c:pt idx="231">
                  <c:v>0.55385726690292303</c:v>
                </c:pt>
                <c:pt idx="232">
                  <c:v>0.51426690816879195</c:v>
                </c:pt>
                <c:pt idx="233">
                  <c:v>0.31854274868965099</c:v>
                </c:pt>
                <c:pt idx="234">
                  <c:v>0.36983358860015803</c:v>
                </c:pt>
                <c:pt idx="235">
                  <c:v>0.53078365325927701</c:v>
                </c:pt>
                <c:pt idx="236">
                  <c:v>0.53366321325302102</c:v>
                </c:pt>
                <c:pt idx="237">
                  <c:v>0.48974779248237599</c:v>
                </c:pt>
                <c:pt idx="238">
                  <c:v>0.18072666227817499</c:v>
                </c:pt>
                <c:pt idx="239">
                  <c:v>0.479339689016342</c:v>
                </c:pt>
                <c:pt idx="240">
                  <c:v>0.35393992066383301</c:v>
                </c:pt>
                <c:pt idx="241">
                  <c:v>0.35543045401573098</c:v>
                </c:pt>
                <c:pt idx="242">
                  <c:v>0.16659930348396301</c:v>
                </c:pt>
                <c:pt idx="243">
                  <c:v>0.40710937976837103</c:v>
                </c:pt>
                <c:pt idx="244">
                  <c:v>0.46033808588981601</c:v>
                </c:pt>
                <c:pt idx="245">
                  <c:v>0.45391356945037797</c:v>
                </c:pt>
                <c:pt idx="246">
                  <c:v>0.57938617467880205</c:v>
                </c:pt>
                <c:pt idx="247">
                  <c:v>0.56894010305404596</c:v>
                </c:pt>
                <c:pt idx="248">
                  <c:v>0.72278809547424305</c:v>
                </c:pt>
                <c:pt idx="249">
                  <c:v>0.205402687191963</c:v>
                </c:pt>
                <c:pt idx="250">
                  <c:v>0.69159632921218805</c:v>
                </c:pt>
                <c:pt idx="251">
                  <c:v>0.75602740049362105</c:v>
                </c:pt>
                <c:pt idx="252">
                  <c:v>0.70089644193649203</c:v>
                </c:pt>
                <c:pt idx="253">
                  <c:v>0.19482035934924999</c:v>
                </c:pt>
                <c:pt idx="254">
                  <c:v>0.426778554916381</c:v>
                </c:pt>
                <c:pt idx="255">
                  <c:v>0.42726373672485302</c:v>
                </c:pt>
                <c:pt idx="256">
                  <c:v>0.190031513571739</c:v>
                </c:pt>
                <c:pt idx="257">
                  <c:v>0.43652927875518799</c:v>
                </c:pt>
                <c:pt idx="258">
                  <c:v>0.48982763290405201</c:v>
                </c:pt>
                <c:pt idx="259">
                  <c:v>0.618613421916961</c:v>
                </c:pt>
                <c:pt idx="260">
                  <c:v>0.67642933130264205</c:v>
                </c:pt>
                <c:pt idx="261">
                  <c:v>0.24033534526824901</c:v>
                </c:pt>
                <c:pt idx="262">
                  <c:v>0.692665874958038</c:v>
                </c:pt>
                <c:pt idx="263">
                  <c:v>0.66434198617935103</c:v>
                </c:pt>
                <c:pt idx="264">
                  <c:v>0.62254333496093694</c:v>
                </c:pt>
                <c:pt idx="265">
                  <c:v>0.20630039274692499</c:v>
                </c:pt>
                <c:pt idx="266">
                  <c:v>0.35900416970252902</c:v>
                </c:pt>
                <c:pt idx="267">
                  <c:v>0.361013263463974</c:v>
                </c:pt>
                <c:pt idx="268">
                  <c:v>0.50490355491638095</c:v>
                </c:pt>
                <c:pt idx="269">
                  <c:v>0.72523397207260099</c:v>
                </c:pt>
                <c:pt idx="270">
                  <c:v>0.27055886387825001</c:v>
                </c:pt>
                <c:pt idx="271">
                  <c:v>0.56560570001602095</c:v>
                </c:pt>
                <c:pt idx="272">
                  <c:v>0.63796889781951904</c:v>
                </c:pt>
                <c:pt idx="273">
                  <c:v>0.24319915473461101</c:v>
                </c:pt>
                <c:pt idx="274">
                  <c:v>0.47985395789146401</c:v>
                </c:pt>
                <c:pt idx="275">
                  <c:v>9.01948437094688E-2</c:v>
                </c:pt>
                <c:pt idx="276">
                  <c:v>0.62396466732025102</c:v>
                </c:pt>
                <c:pt idx="277">
                  <c:v>0.66297155618667603</c:v>
                </c:pt>
                <c:pt idx="278">
                  <c:v>0.489938884973526</c:v>
                </c:pt>
                <c:pt idx="279">
                  <c:v>4.7556269913911799E-2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A4-DF47-BE57-7AE005C52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533392"/>
        <c:axId val="195535664"/>
      </c:scatterChart>
      <c:valAx>
        <c:axId val="19553339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35664"/>
        <c:crosses val="autoZero"/>
        <c:crossBetween val="midCat"/>
      </c:valAx>
      <c:valAx>
        <c:axId val="19553566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33392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'Paul dataset'!$AM$1</c:f>
              <c:strCache>
                <c:ptCount val="1"/>
                <c:pt idx="0">
                  <c:v>y_pred_avr (5 fold)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1"/>
            <c:plus>
              <c:numRef>
                <c:f>'Paul dataset'!$AN$2:$AN$281</c:f>
                <c:numCache>
                  <c:formatCode>General</c:formatCode>
                  <c:ptCount val="280"/>
                  <c:pt idx="0">
                    <c:v>1.11945073538702E-2</c:v>
                  </c:pt>
                  <c:pt idx="1">
                    <c:v>2.1941779360668299E-2</c:v>
                  </c:pt>
                  <c:pt idx="2">
                    <c:v>1.4111722492744E-2</c:v>
                  </c:pt>
                  <c:pt idx="3">
                    <c:v>8.1359636488516299E-3</c:v>
                  </c:pt>
                  <c:pt idx="4">
                    <c:v>1.40517281827217E-2</c:v>
                  </c:pt>
                  <c:pt idx="5">
                    <c:v>3.2027979219602098E-2</c:v>
                  </c:pt>
                  <c:pt idx="6">
                    <c:v>4.4547412803859897E-2</c:v>
                  </c:pt>
                  <c:pt idx="7">
                    <c:v>5.2290402886855901E-2</c:v>
                  </c:pt>
                  <c:pt idx="8">
                    <c:v>2.2100716594274601E-2</c:v>
                  </c:pt>
                  <c:pt idx="9">
                    <c:v>2.4171692329406101E-2</c:v>
                  </c:pt>
                  <c:pt idx="10">
                    <c:v>3.1996047720770797E-2</c:v>
                  </c:pt>
                  <c:pt idx="11">
                    <c:v>3.8039425832348601E-2</c:v>
                  </c:pt>
                  <c:pt idx="12">
                    <c:v>1.23410248192164E-2</c:v>
                  </c:pt>
                  <c:pt idx="13">
                    <c:v>2.06325216617139E-2</c:v>
                  </c:pt>
                  <c:pt idx="14">
                    <c:v>1.9077718342601999E-2</c:v>
                  </c:pt>
                  <c:pt idx="15">
                    <c:v>3.54377733683948E-2</c:v>
                  </c:pt>
                  <c:pt idx="16">
                    <c:v>1.1030959145495E-2</c:v>
                  </c:pt>
                  <c:pt idx="17">
                    <c:v>1.56425638577046E-2</c:v>
                  </c:pt>
                  <c:pt idx="18">
                    <c:v>2.0908330886341E-2</c:v>
                  </c:pt>
                  <c:pt idx="19">
                    <c:v>2.4223199209940201E-2</c:v>
                  </c:pt>
                  <c:pt idx="20">
                    <c:v>4.2385788927599401E-2</c:v>
                  </c:pt>
                  <c:pt idx="21">
                    <c:v>2.4296020112585599E-2</c:v>
                  </c:pt>
                  <c:pt idx="22">
                    <c:v>1.8480014497922199E-2</c:v>
                  </c:pt>
                  <c:pt idx="23">
                    <c:v>3.4820215219911202E-2</c:v>
                  </c:pt>
                  <c:pt idx="24">
                    <c:v>1.78320443711103E-2</c:v>
                  </c:pt>
                  <c:pt idx="25">
                    <c:v>1.7053216227239699E-2</c:v>
                  </c:pt>
                  <c:pt idx="26">
                    <c:v>3.2642040608962399E-2</c:v>
                  </c:pt>
                  <c:pt idx="27">
                    <c:v>4.1096180624022698E-2</c:v>
                  </c:pt>
                  <c:pt idx="28">
                    <c:v>2.3921226322701401E-2</c:v>
                  </c:pt>
                  <c:pt idx="29">
                    <c:v>2.7736493441871301E-2</c:v>
                  </c:pt>
                  <c:pt idx="30">
                    <c:v>1.26023997421797E-2</c:v>
                  </c:pt>
                  <c:pt idx="31">
                    <c:v>2.3378499695437101E-2</c:v>
                  </c:pt>
                  <c:pt idx="32">
                    <c:v>1.7377308233438301E-2</c:v>
                  </c:pt>
                  <c:pt idx="33">
                    <c:v>1.6477192439419499E-2</c:v>
                  </c:pt>
                  <c:pt idx="34">
                    <c:v>1.35526417826088E-2</c:v>
                  </c:pt>
                  <c:pt idx="35">
                    <c:v>3.2085434994996602E-2</c:v>
                  </c:pt>
                  <c:pt idx="36">
                    <c:v>4.9079575196453701E-2</c:v>
                  </c:pt>
                  <c:pt idx="37">
                    <c:v>4.4800566311209503E-2</c:v>
                  </c:pt>
                  <c:pt idx="38">
                    <c:v>2.4560561009013701E-2</c:v>
                  </c:pt>
                  <c:pt idx="39">
                    <c:v>1.9761420925900899E-2</c:v>
                  </c:pt>
                  <c:pt idx="40">
                    <c:v>2.7605318777347301E-2</c:v>
                  </c:pt>
                  <c:pt idx="41">
                    <c:v>3.4357123085036897E-2</c:v>
                  </c:pt>
                  <c:pt idx="42">
                    <c:v>3.5471960547647202E-2</c:v>
                  </c:pt>
                  <c:pt idx="43">
                    <c:v>2.23149326552874E-2</c:v>
                  </c:pt>
                  <c:pt idx="44">
                    <c:v>4.3736807130717502E-2</c:v>
                  </c:pt>
                  <c:pt idx="45">
                    <c:v>1.93723306939096E-2</c:v>
                  </c:pt>
                  <c:pt idx="46">
                    <c:v>1.65330377537527E-2</c:v>
                  </c:pt>
                  <c:pt idx="47">
                    <c:v>3.1928508950266103E-2</c:v>
                  </c:pt>
                  <c:pt idx="48">
                    <c:v>2.7756219778666401E-2</c:v>
                  </c:pt>
                  <c:pt idx="49">
                    <c:v>2.1828993956429298E-2</c:v>
                  </c:pt>
                  <c:pt idx="50">
                    <c:v>2.65068813774775E-2</c:v>
                  </c:pt>
                  <c:pt idx="51">
                    <c:v>2.0839270803408999E-2</c:v>
                  </c:pt>
                  <c:pt idx="52">
                    <c:v>1.3724730997805299E-2</c:v>
                  </c:pt>
                  <c:pt idx="53">
                    <c:v>2.1381757226080302E-2</c:v>
                  </c:pt>
                  <c:pt idx="54">
                    <c:v>3.1826199307960802E-2</c:v>
                  </c:pt>
                  <c:pt idx="55">
                    <c:v>2.5988682969364098E-2</c:v>
                  </c:pt>
                  <c:pt idx="56">
                    <c:v>2.9361139953939401E-2</c:v>
                  </c:pt>
                  <c:pt idx="57">
                    <c:v>2.5373462708670101E-2</c:v>
                  </c:pt>
                  <c:pt idx="58">
                    <c:v>2.21928120518818E-2</c:v>
                  </c:pt>
                  <c:pt idx="59">
                    <c:v>2.6760297161719002E-2</c:v>
                  </c:pt>
                  <c:pt idx="60">
                    <c:v>3.7403171356192901E-2</c:v>
                  </c:pt>
                  <c:pt idx="61">
                    <c:v>2.6229885882391502E-2</c:v>
                  </c:pt>
                  <c:pt idx="62">
                    <c:v>1.4923753885794099E-2</c:v>
                  </c:pt>
                  <c:pt idx="63">
                    <c:v>5.95116609600767E-2</c:v>
                  </c:pt>
                  <c:pt idx="64">
                    <c:v>2.6039584659294499E-2</c:v>
                  </c:pt>
                  <c:pt idx="65">
                    <c:v>5.2408189418799503E-2</c:v>
                  </c:pt>
                  <c:pt idx="66">
                    <c:v>1.7640597574112401E-2</c:v>
                  </c:pt>
                  <c:pt idx="67">
                    <c:v>3.9058091536192399E-2</c:v>
                  </c:pt>
                  <c:pt idx="68">
                    <c:v>1.9497855216039299E-2</c:v>
                  </c:pt>
                  <c:pt idx="69">
                    <c:v>1.3080384980666101E-2</c:v>
                  </c:pt>
                  <c:pt idx="70">
                    <c:v>2.6602834210906999E-2</c:v>
                  </c:pt>
                  <c:pt idx="71">
                    <c:v>2.5071526018054801E-2</c:v>
                  </c:pt>
                  <c:pt idx="72">
                    <c:v>2.4795812273392601E-2</c:v>
                  </c:pt>
                  <c:pt idx="73">
                    <c:v>2.6511508337790798E-2</c:v>
                  </c:pt>
                  <c:pt idx="74">
                    <c:v>3.3630720316867202E-2</c:v>
                  </c:pt>
                  <c:pt idx="75">
                    <c:v>1.1159268654794E-2</c:v>
                  </c:pt>
                  <c:pt idx="76">
                    <c:v>1.86591596132611E-2</c:v>
                  </c:pt>
                  <c:pt idx="77">
                    <c:v>3.6780954932546399E-2</c:v>
                  </c:pt>
                  <c:pt idx="78">
                    <c:v>1.5523479223747499E-2</c:v>
                  </c:pt>
                  <c:pt idx="79">
                    <c:v>2.2165745569395701E-2</c:v>
                  </c:pt>
                  <c:pt idx="80">
                    <c:v>2.57286173079193E-2</c:v>
                  </c:pt>
                  <c:pt idx="81">
                    <c:v>2.0871761166892901E-2</c:v>
                  </c:pt>
                  <c:pt idx="82">
                    <c:v>3.2732692454885103E-2</c:v>
                  </c:pt>
                  <c:pt idx="83">
                    <c:v>1.7056876311994099E-2</c:v>
                  </c:pt>
                  <c:pt idx="84">
                    <c:v>2.3485416257091999E-2</c:v>
                  </c:pt>
                  <c:pt idx="85">
                    <c:v>3.4843597733167801E-2</c:v>
                  </c:pt>
                  <c:pt idx="86">
                    <c:v>2.7275665067271498E-2</c:v>
                  </c:pt>
                  <c:pt idx="87">
                    <c:v>1.88674431934087E-2</c:v>
                  </c:pt>
                  <c:pt idx="88">
                    <c:v>9.5905379478081892E-3</c:v>
                  </c:pt>
                  <c:pt idx="89">
                    <c:v>1.29327838499313E-2</c:v>
                  </c:pt>
                  <c:pt idx="90">
                    <c:v>3.3891961828573E-2</c:v>
                  </c:pt>
                  <c:pt idx="91">
                    <c:v>1.8751542754109E-2</c:v>
                  </c:pt>
                  <c:pt idx="92">
                    <c:v>1.7166559338466E-2</c:v>
                  </c:pt>
                  <c:pt idx="93">
                    <c:v>2.7845833596018599E-2</c:v>
                  </c:pt>
                  <c:pt idx="94">
                    <c:v>3.44520014122996E-2</c:v>
                  </c:pt>
                  <c:pt idx="95">
                    <c:v>2.7449508071073901E-2</c:v>
                  </c:pt>
                  <c:pt idx="96">
                    <c:v>2.2578278981890298E-2</c:v>
                  </c:pt>
                  <c:pt idx="97">
                    <c:v>4.8346194759141398E-2</c:v>
                  </c:pt>
                  <c:pt idx="98">
                    <c:v>4.09322857108083E-2</c:v>
                  </c:pt>
                  <c:pt idx="99">
                    <c:v>2.8665191530211302E-2</c:v>
                  </c:pt>
                  <c:pt idx="100">
                    <c:v>2.2657322622354901E-2</c:v>
                  </c:pt>
                  <c:pt idx="101">
                    <c:v>2.2233473739824799E-2</c:v>
                  </c:pt>
                  <c:pt idx="102">
                    <c:v>1.26558028210295E-2</c:v>
                  </c:pt>
                  <c:pt idx="103">
                    <c:v>6.8949887786414702E-3</c:v>
                  </c:pt>
                  <c:pt idx="104">
                    <c:v>1.7155222816562201E-2</c:v>
                  </c:pt>
                  <c:pt idx="105">
                    <c:v>1.6380098848133299E-2</c:v>
                  </c:pt>
                  <c:pt idx="106">
                    <c:v>2.7827884710245301E-2</c:v>
                  </c:pt>
                  <c:pt idx="107">
                    <c:v>2.49781575211564E-2</c:v>
                  </c:pt>
                  <c:pt idx="108">
                    <c:v>2.1618893432752501E-2</c:v>
                  </c:pt>
                  <c:pt idx="109">
                    <c:v>4.2866861852768702E-2</c:v>
                  </c:pt>
                  <c:pt idx="110">
                    <c:v>2.4693508430659199E-2</c:v>
                  </c:pt>
                  <c:pt idx="111">
                    <c:v>4.48280063972352E-2</c:v>
                  </c:pt>
                  <c:pt idx="112">
                    <c:v>2.7332698824006602E-2</c:v>
                  </c:pt>
                  <c:pt idx="113">
                    <c:v>4.0507369905857502E-2</c:v>
                  </c:pt>
                  <c:pt idx="114">
                    <c:v>2.5540445980439901E-2</c:v>
                  </c:pt>
                  <c:pt idx="115">
                    <c:v>3.5259543640281603E-2</c:v>
                  </c:pt>
                  <c:pt idx="116">
                    <c:v>2.9532229024759798E-2</c:v>
                  </c:pt>
                  <c:pt idx="117">
                    <c:v>8.9960388337227398E-3</c:v>
                  </c:pt>
                  <c:pt idx="118">
                    <c:v>3.0993150975992399E-2</c:v>
                  </c:pt>
                  <c:pt idx="119">
                    <c:v>2.38762002786649E-2</c:v>
                  </c:pt>
                  <c:pt idx="120">
                    <c:v>2.5366828345975999E-2</c:v>
                  </c:pt>
                  <c:pt idx="121">
                    <c:v>2.6380525454317801E-2</c:v>
                  </c:pt>
                  <c:pt idx="122">
                    <c:v>2.3269351573315201E-2</c:v>
                  </c:pt>
                  <c:pt idx="123">
                    <c:v>1.1824515372326099E-2</c:v>
                  </c:pt>
                  <c:pt idx="124">
                    <c:v>1.4438911952054699E-2</c:v>
                  </c:pt>
                  <c:pt idx="125">
                    <c:v>3.4596825931621403E-2</c:v>
                  </c:pt>
                  <c:pt idx="126">
                    <c:v>2.47763855296716E-2</c:v>
                  </c:pt>
                  <c:pt idx="127">
                    <c:v>3.00694903924821E-2</c:v>
                  </c:pt>
                  <c:pt idx="128">
                    <c:v>2.8042033362077501E-2</c:v>
                  </c:pt>
                  <c:pt idx="129">
                    <c:v>2.5166108680055199E-2</c:v>
                  </c:pt>
                  <c:pt idx="130">
                    <c:v>3.0971309874261201E-2</c:v>
                  </c:pt>
                  <c:pt idx="131">
                    <c:v>2.5091724359847901E-2</c:v>
                  </c:pt>
                  <c:pt idx="132">
                    <c:v>4.3998934574583301E-2</c:v>
                  </c:pt>
                  <c:pt idx="133">
                    <c:v>2.3679554382477201E-2</c:v>
                  </c:pt>
                  <c:pt idx="134">
                    <c:v>5.9006096550759599E-2</c:v>
                  </c:pt>
                  <c:pt idx="135">
                    <c:v>1.9830950359178999E-2</c:v>
                  </c:pt>
                  <c:pt idx="136">
                    <c:v>1.6376726284544799E-2</c:v>
                  </c:pt>
                  <c:pt idx="137">
                    <c:v>4.5758366457145698E-2</c:v>
                  </c:pt>
                  <c:pt idx="138">
                    <c:v>2.2219488444308998E-2</c:v>
                  </c:pt>
                  <c:pt idx="139">
                    <c:v>2.69803020042962E-2</c:v>
                  </c:pt>
                  <c:pt idx="140">
                    <c:v>4.17790438561359E-2</c:v>
                  </c:pt>
                  <c:pt idx="141">
                    <c:v>2.1601328586996101E-2</c:v>
                  </c:pt>
                  <c:pt idx="142">
                    <c:v>5.80456057103789E-3</c:v>
                  </c:pt>
                  <c:pt idx="143">
                    <c:v>2.4102130133085299E-2</c:v>
                  </c:pt>
                  <c:pt idx="144">
                    <c:v>3.2278060185013203E-2</c:v>
                  </c:pt>
                  <c:pt idx="145">
                    <c:v>1.48041438768848E-2</c:v>
                  </c:pt>
                  <c:pt idx="146">
                    <c:v>2.9699931193928102E-2</c:v>
                  </c:pt>
                  <c:pt idx="147">
                    <c:v>2.8427005134010801E-2</c:v>
                  </c:pt>
                  <c:pt idx="148">
                    <c:v>2.2817376048645002E-2</c:v>
                  </c:pt>
                  <c:pt idx="149">
                    <c:v>2.3984456847504401E-2</c:v>
                  </c:pt>
                  <c:pt idx="150">
                    <c:v>4.5934039496008501E-2</c:v>
                  </c:pt>
                  <c:pt idx="151">
                    <c:v>3.6350025769493199E-2</c:v>
                  </c:pt>
                  <c:pt idx="152">
                    <c:v>4.2986695861064399E-2</c:v>
                  </c:pt>
                  <c:pt idx="153">
                    <c:v>2.67538404686351E-2</c:v>
                  </c:pt>
                  <c:pt idx="154">
                    <c:v>5.2093087297532502E-2</c:v>
                  </c:pt>
                  <c:pt idx="155">
                    <c:v>1.21959898244064E-2</c:v>
                  </c:pt>
                  <c:pt idx="156">
                    <c:v>2.7346226680415201E-2</c:v>
                  </c:pt>
                  <c:pt idx="157">
                    <c:v>2.6016260811059198E-2</c:v>
                  </c:pt>
                  <c:pt idx="158">
                    <c:v>2.92435415023326E-2</c:v>
                  </c:pt>
                  <c:pt idx="159">
                    <c:v>1.4805717546129801E-2</c:v>
                  </c:pt>
                  <c:pt idx="160">
                    <c:v>1.34076898961694E-2</c:v>
                  </c:pt>
                  <c:pt idx="161">
                    <c:v>4.40058817640923E-2</c:v>
                  </c:pt>
                  <c:pt idx="162">
                    <c:v>3.3027150071178103E-2</c:v>
                  </c:pt>
                  <c:pt idx="163">
                    <c:v>2.88433577733621E-2</c:v>
                  </c:pt>
                  <c:pt idx="164">
                    <c:v>1.56707882010374E-2</c:v>
                  </c:pt>
                  <c:pt idx="165">
                    <c:v>3.5636191614041697E-2</c:v>
                  </c:pt>
                  <c:pt idx="166">
                    <c:v>1.3647524714865401E-2</c:v>
                  </c:pt>
                  <c:pt idx="167">
                    <c:v>5.04898160810709E-2</c:v>
                  </c:pt>
                  <c:pt idx="168">
                    <c:v>3.7810610330175097E-2</c:v>
                  </c:pt>
                  <c:pt idx="169">
                    <c:v>2.92675231713624E-2</c:v>
                  </c:pt>
                  <c:pt idx="170">
                    <c:v>1.8753680330961399E-2</c:v>
                  </c:pt>
                  <c:pt idx="171">
                    <c:v>2.8025672190806102E-2</c:v>
                  </c:pt>
                  <c:pt idx="172">
                    <c:v>2.5119267966686801E-2</c:v>
                  </c:pt>
                  <c:pt idx="173">
                    <c:v>3.6840226834116099E-2</c:v>
                  </c:pt>
                  <c:pt idx="174">
                    <c:v>2.1233091546511099E-2</c:v>
                  </c:pt>
                  <c:pt idx="175">
                    <c:v>2.4963857415345E-2</c:v>
                  </c:pt>
                  <c:pt idx="176">
                    <c:v>3.2917689159692697E-2</c:v>
                  </c:pt>
                  <c:pt idx="177">
                    <c:v>3.8314034826830302E-2</c:v>
                  </c:pt>
                  <c:pt idx="178">
                    <c:v>1.23535005800187E-2</c:v>
                  </c:pt>
                  <c:pt idx="179">
                    <c:v>3.4676249823397801E-2</c:v>
                  </c:pt>
                  <c:pt idx="180">
                    <c:v>9.5382630833963297E-3</c:v>
                  </c:pt>
                  <c:pt idx="181">
                    <c:v>3.9004972741019897E-2</c:v>
                  </c:pt>
                  <c:pt idx="182">
                    <c:v>3.1785012243150099E-2</c:v>
                  </c:pt>
                  <c:pt idx="183">
                    <c:v>1.8191546329683499E-2</c:v>
                  </c:pt>
                  <c:pt idx="184">
                    <c:v>1.1843626037340699E-2</c:v>
                  </c:pt>
                  <c:pt idx="185">
                    <c:v>3.0704755756737E-2</c:v>
                  </c:pt>
                  <c:pt idx="186">
                    <c:v>2.8114997783532499E-2</c:v>
                  </c:pt>
                  <c:pt idx="187">
                    <c:v>2.36834692634432E-2</c:v>
                  </c:pt>
                  <c:pt idx="188">
                    <c:v>3.2910907555598397E-2</c:v>
                  </c:pt>
                  <c:pt idx="189">
                    <c:v>3.7902473763967402E-2</c:v>
                  </c:pt>
                  <c:pt idx="190">
                    <c:v>4.60854560581829E-2</c:v>
                  </c:pt>
                  <c:pt idx="191">
                    <c:v>2.4100635909343499E-2</c:v>
                  </c:pt>
                  <c:pt idx="192">
                    <c:v>2.0644060864833499E-2</c:v>
                  </c:pt>
                  <c:pt idx="193">
                    <c:v>4.6874121840406298E-2</c:v>
                  </c:pt>
                  <c:pt idx="194">
                    <c:v>2.0543685977272901E-2</c:v>
                  </c:pt>
                  <c:pt idx="195">
                    <c:v>4.0326165877392101E-2</c:v>
                  </c:pt>
                  <c:pt idx="196">
                    <c:v>2.05356658273225E-2</c:v>
                  </c:pt>
                  <c:pt idx="197">
                    <c:v>5.5995692155140199E-2</c:v>
                  </c:pt>
                  <c:pt idx="198">
                    <c:v>3.3621584795793399E-2</c:v>
                  </c:pt>
                  <c:pt idx="199">
                    <c:v>3.6222524609048998E-2</c:v>
                  </c:pt>
                  <c:pt idx="200">
                    <c:v>4.1213093916921698E-2</c:v>
                  </c:pt>
                  <c:pt idx="201">
                    <c:v>3.55853596931602E-2</c:v>
                  </c:pt>
                  <c:pt idx="202">
                    <c:v>4.0450681311077201E-2</c:v>
                  </c:pt>
                  <c:pt idx="203">
                    <c:v>3.1592786761972698E-2</c:v>
                  </c:pt>
                  <c:pt idx="204">
                    <c:v>1.7475707124907099E-2</c:v>
                  </c:pt>
                  <c:pt idx="205">
                    <c:v>1.1348757420820201E-2</c:v>
                  </c:pt>
                  <c:pt idx="206">
                    <c:v>4.5665239469458899E-2</c:v>
                  </c:pt>
                  <c:pt idx="207">
                    <c:v>1.9960130080666699E-2</c:v>
                  </c:pt>
                  <c:pt idx="208">
                    <c:v>5.8918410848403401E-2</c:v>
                  </c:pt>
                  <c:pt idx="209">
                    <c:v>3.1457175500691201E-2</c:v>
                  </c:pt>
                  <c:pt idx="210">
                    <c:v>2.7546212171160499E-2</c:v>
                  </c:pt>
                  <c:pt idx="211">
                    <c:v>1.50869286062928E-2</c:v>
                  </c:pt>
                  <c:pt idx="212">
                    <c:v>3.2314708928795302E-2</c:v>
                  </c:pt>
                  <c:pt idx="213">
                    <c:v>8.59803085529574E-3</c:v>
                  </c:pt>
                  <c:pt idx="214">
                    <c:v>4.1742358403497097E-2</c:v>
                  </c:pt>
                  <c:pt idx="215">
                    <c:v>8.5771391019865799E-3</c:v>
                  </c:pt>
                  <c:pt idx="216">
                    <c:v>2.7558387964115898E-2</c:v>
                  </c:pt>
                  <c:pt idx="217">
                    <c:v>2.0121393712949302E-2</c:v>
                  </c:pt>
                  <c:pt idx="218">
                    <c:v>2.5450378936768998E-2</c:v>
                  </c:pt>
                  <c:pt idx="219">
                    <c:v>3.1311042776728998E-2</c:v>
                  </c:pt>
                  <c:pt idx="220">
                    <c:v>4.3608591702206899E-3</c:v>
                  </c:pt>
                  <c:pt idx="221">
                    <c:v>3.5867976339669497E-2</c:v>
                  </c:pt>
                  <c:pt idx="222">
                    <c:v>5.2650597068645097E-2</c:v>
                  </c:pt>
                  <c:pt idx="223">
                    <c:v>2.3914092678208199E-2</c:v>
                  </c:pt>
                  <c:pt idx="224">
                    <c:v>2.6126393119732201E-2</c:v>
                  </c:pt>
                  <c:pt idx="225">
                    <c:v>3.0477637699076798E-2</c:v>
                  </c:pt>
                  <c:pt idx="226">
                    <c:v>3.5963863096153598E-2</c:v>
                  </c:pt>
                  <c:pt idx="227">
                    <c:v>2.3240476860972002E-2</c:v>
                  </c:pt>
                  <c:pt idx="228">
                    <c:v>4.7202351669259901E-2</c:v>
                  </c:pt>
                  <c:pt idx="229">
                    <c:v>3.7473657983237402E-2</c:v>
                  </c:pt>
                  <c:pt idx="230">
                    <c:v>5.0170163785718203E-2</c:v>
                  </c:pt>
                  <c:pt idx="231">
                    <c:v>3.10672881606819E-2</c:v>
                  </c:pt>
                  <c:pt idx="232">
                    <c:v>2.40275903806377E-2</c:v>
                  </c:pt>
                  <c:pt idx="233">
                    <c:v>3.2452637287255601E-2</c:v>
                  </c:pt>
                  <c:pt idx="234">
                    <c:v>4.5979815072515799E-2</c:v>
                  </c:pt>
                  <c:pt idx="235">
                    <c:v>2.38541167271045E-2</c:v>
                  </c:pt>
                  <c:pt idx="236">
                    <c:v>3.1347302834292101E-2</c:v>
                  </c:pt>
                  <c:pt idx="237">
                    <c:v>3.3090444952835703E-2</c:v>
                  </c:pt>
                  <c:pt idx="238">
                    <c:v>0.121801508809493</c:v>
                  </c:pt>
                  <c:pt idx="239">
                    <c:v>3.8613635388708802E-2</c:v>
                  </c:pt>
                  <c:pt idx="240">
                    <c:v>1.6212107864857599E-2</c:v>
                  </c:pt>
                  <c:pt idx="241">
                    <c:v>6.4250007195807604E-2</c:v>
                  </c:pt>
                  <c:pt idx="242">
                    <c:v>5.1221255800487697E-2</c:v>
                  </c:pt>
                  <c:pt idx="243">
                    <c:v>4.11856015157974E-2</c:v>
                  </c:pt>
                  <c:pt idx="244">
                    <c:v>1.7610131281396602E-2</c:v>
                  </c:pt>
                  <c:pt idx="245">
                    <c:v>3.41143758347267E-2</c:v>
                  </c:pt>
                  <c:pt idx="246">
                    <c:v>5.6670023967659897E-2</c:v>
                  </c:pt>
                  <c:pt idx="247">
                    <c:v>4.0791561523054097E-2</c:v>
                  </c:pt>
                  <c:pt idx="248">
                    <c:v>4.8739088032648002E-2</c:v>
                  </c:pt>
                  <c:pt idx="249">
                    <c:v>4.41909248231524E-2</c:v>
                  </c:pt>
                  <c:pt idx="250">
                    <c:v>3.5280989073848003E-2</c:v>
                  </c:pt>
                  <c:pt idx="251">
                    <c:v>6.2177510726220603E-2</c:v>
                  </c:pt>
                  <c:pt idx="252">
                    <c:v>2.0169001021488699E-2</c:v>
                  </c:pt>
                  <c:pt idx="253">
                    <c:v>4.91942700586087E-2</c:v>
                  </c:pt>
                  <c:pt idx="254">
                    <c:v>5.1704424601346097E-2</c:v>
                  </c:pt>
                  <c:pt idx="255">
                    <c:v>3.84186915475574E-2</c:v>
                  </c:pt>
                  <c:pt idx="256">
                    <c:v>3.8969045555403703E-2</c:v>
                  </c:pt>
                  <c:pt idx="257">
                    <c:v>3.7704293639276798E-2</c:v>
                  </c:pt>
                  <c:pt idx="258">
                    <c:v>1.3605788603859199E-2</c:v>
                  </c:pt>
                  <c:pt idx="259">
                    <c:v>2.3305656935448699E-2</c:v>
                  </c:pt>
                  <c:pt idx="260">
                    <c:v>2.5823684419555199E-2</c:v>
                  </c:pt>
                  <c:pt idx="261">
                    <c:v>5.0278973531216499E-2</c:v>
                  </c:pt>
                  <c:pt idx="262">
                    <c:v>2.9519479244585901E-2</c:v>
                  </c:pt>
                  <c:pt idx="263">
                    <c:v>4.6506550448149497E-2</c:v>
                  </c:pt>
                  <c:pt idx="264">
                    <c:v>2.5129565068664501E-2</c:v>
                  </c:pt>
                  <c:pt idx="265">
                    <c:v>7.3138210751811206E-2</c:v>
                  </c:pt>
                  <c:pt idx="266">
                    <c:v>5.38390208228052E-2</c:v>
                  </c:pt>
                  <c:pt idx="267">
                    <c:v>1.49014005606666E-2</c:v>
                  </c:pt>
                  <c:pt idx="268">
                    <c:v>1.37199234609527E-2</c:v>
                  </c:pt>
                  <c:pt idx="269">
                    <c:v>3.6084925192455902E-2</c:v>
                  </c:pt>
                  <c:pt idx="270">
                    <c:v>4.1780158293838597E-2</c:v>
                  </c:pt>
                  <c:pt idx="271">
                    <c:v>1.94062409252223E-2</c:v>
                  </c:pt>
                  <c:pt idx="272">
                    <c:v>4.1525372092054397E-2</c:v>
                  </c:pt>
                  <c:pt idx="273">
                    <c:v>4.1662126359613402E-2</c:v>
                  </c:pt>
                  <c:pt idx="274">
                    <c:v>2.3766086444925501E-2</c:v>
                  </c:pt>
                  <c:pt idx="275">
                    <c:v>3.8973370977860002E-2</c:v>
                  </c:pt>
                  <c:pt idx="276">
                    <c:v>2.9791243793042599E-2</c:v>
                  </c:pt>
                  <c:pt idx="277">
                    <c:v>3.55046454191403E-2</c:v>
                  </c:pt>
                  <c:pt idx="278">
                    <c:v>2.5439687415730598E-2</c:v>
                  </c:pt>
                  <c:pt idx="279">
                    <c:v>4.5645102247982197E-2</c:v>
                  </c:pt>
                </c:numCache>
              </c:numRef>
            </c:plus>
            <c:minus>
              <c:numRef>
                <c:f>'Paul dataset'!$AN$2:$AN$281</c:f>
                <c:numCache>
                  <c:formatCode>General</c:formatCode>
                  <c:ptCount val="280"/>
                  <c:pt idx="0">
                    <c:v>1.11945073538702E-2</c:v>
                  </c:pt>
                  <c:pt idx="1">
                    <c:v>2.1941779360668299E-2</c:v>
                  </c:pt>
                  <c:pt idx="2">
                    <c:v>1.4111722492744E-2</c:v>
                  </c:pt>
                  <c:pt idx="3">
                    <c:v>8.1359636488516299E-3</c:v>
                  </c:pt>
                  <c:pt idx="4">
                    <c:v>1.40517281827217E-2</c:v>
                  </c:pt>
                  <c:pt idx="5">
                    <c:v>3.2027979219602098E-2</c:v>
                  </c:pt>
                  <c:pt idx="6">
                    <c:v>4.4547412803859897E-2</c:v>
                  </c:pt>
                  <c:pt idx="7">
                    <c:v>5.2290402886855901E-2</c:v>
                  </c:pt>
                  <c:pt idx="8">
                    <c:v>2.2100716594274601E-2</c:v>
                  </c:pt>
                  <c:pt idx="9">
                    <c:v>2.4171692329406101E-2</c:v>
                  </c:pt>
                  <c:pt idx="10">
                    <c:v>3.1996047720770797E-2</c:v>
                  </c:pt>
                  <c:pt idx="11">
                    <c:v>3.8039425832348601E-2</c:v>
                  </c:pt>
                  <c:pt idx="12">
                    <c:v>1.23410248192164E-2</c:v>
                  </c:pt>
                  <c:pt idx="13">
                    <c:v>2.06325216617139E-2</c:v>
                  </c:pt>
                  <c:pt idx="14">
                    <c:v>1.9077718342601999E-2</c:v>
                  </c:pt>
                  <c:pt idx="15">
                    <c:v>3.54377733683948E-2</c:v>
                  </c:pt>
                  <c:pt idx="16">
                    <c:v>1.1030959145495E-2</c:v>
                  </c:pt>
                  <c:pt idx="17">
                    <c:v>1.56425638577046E-2</c:v>
                  </c:pt>
                  <c:pt idx="18">
                    <c:v>2.0908330886341E-2</c:v>
                  </c:pt>
                  <c:pt idx="19">
                    <c:v>2.4223199209940201E-2</c:v>
                  </c:pt>
                  <c:pt idx="20">
                    <c:v>4.2385788927599401E-2</c:v>
                  </c:pt>
                  <c:pt idx="21">
                    <c:v>2.4296020112585599E-2</c:v>
                  </c:pt>
                  <c:pt idx="22">
                    <c:v>1.8480014497922199E-2</c:v>
                  </c:pt>
                  <c:pt idx="23">
                    <c:v>3.4820215219911202E-2</c:v>
                  </c:pt>
                  <c:pt idx="24">
                    <c:v>1.78320443711103E-2</c:v>
                  </c:pt>
                  <c:pt idx="25">
                    <c:v>1.7053216227239699E-2</c:v>
                  </c:pt>
                  <c:pt idx="26">
                    <c:v>3.2642040608962399E-2</c:v>
                  </c:pt>
                  <c:pt idx="27">
                    <c:v>4.1096180624022698E-2</c:v>
                  </c:pt>
                  <c:pt idx="28">
                    <c:v>2.3921226322701401E-2</c:v>
                  </c:pt>
                  <c:pt idx="29">
                    <c:v>2.7736493441871301E-2</c:v>
                  </c:pt>
                  <c:pt idx="30">
                    <c:v>1.26023997421797E-2</c:v>
                  </c:pt>
                  <c:pt idx="31">
                    <c:v>2.3378499695437101E-2</c:v>
                  </c:pt>
                  <c:pt idx="32">
                    <c:v>1.7377308233438301E-2</c:v>
                  </c:pt>
                  <c:pt idx="33">
                    <c:v>1.6477192439419499E-2</c:v>
                  </c:pt>
                  <c:pt idx="34">
                    <c:v>1.35526417826088E-2</c:v>
                  </c:pt>
                  <c:pt idx="35">
                    <c:v>3.2085434994996602E-2</c:v>
                  </c:pt>
                  <c:pt idx="36">
                    <c:v>4.9079575196453701E-2</c:v>
                  </c:pt>
                  <c:pt idx="37">
                    <c:v>4.4800566311209503E-2</c:v>
                  </c:pt>
                  <c:pt idx="38">
                    <c:v>2.4560561009013701E-2</c:v>
                  </c:pt>
                  <c:pt idx="39">
                    <c:v>1.9761420925900899E-2</c:v>
                  </c:pt>
                  <c:pt idx="40">
                    <c:v>2.7605318777347301E-2</c:v>
                  </c:pt>
                  <c:pt idx="41">
                    <c:v>3.4357123085036897E-2</c:v>
                  </c:pt>
                  <c:pt idx="42">
                    <c:v>3.5471960547647202E-2</c:v>
                  </c:pt>
                  <c:pt idx="43">
                    <c:v>2.23149326552874E-2</c:v>
                  </c:pt>
                  <c:pt idx="44">
                    <c:v>4.3736807130717502E-2</c:v>
                  </c:pt>
                  <c:pt idx="45">
                    <c:v>1.93723306939096E-2</c:v>
                  </c:pt>
                  <c:pt idx="46">
                    <c:v>1.65330377537527E-2</c:v>
                  </c:pt>
                  <c:pt idx="47">
                    <c:v>3.1928508950266103E-2</c:v>
                  </c:pt>
                  <c:pt idx="48">
                    <c:v>2.7756219778666401E-2</c:v>
                  </c:pt>
                  <c:pt idx="49">
                    <c:v>2.1828993956429298E-2</c:v>
                  </c:pt>
                  <c:pt idx="50">
                    <c:v>2.65068813774775E-2</c:v>
                  </c:pt>
                  <c:pt idx="51">
                    <c:v>2.0839270803408999E-2</c:v>
                  </c:pt>
                  <c:pt idx="52">
                    <c:v>1.3724730997805299E-2</c:v>
                  </c:pt>
                  <c:pt idx="53">
                    <c:v>2.1381757226080302E-2</c:v>
                  </c:pt>
                  <c:pt idx="54">
                    <c:v>3.1826199307960802E-2</c:v>
                  </c:pt>
                  <c:pt idx="55">
                    <c:v>2.5988682969364098E-2</c:v>
                  </c:pt>
                  <c:pt idx="56">
                    <c:v>2.9361139953939401E-2</c:v>
                  </c:pt>
                  <c:pt idx="57">
                    <c:v>2.5373462708670101E-2</c:v>
                  </c:pt>
                  <c:pt idx="58">
                    <c:v>2.21928120518818E-2</c:v>
                  </c:pt>
                  <c:pt idx="59">
                    <c:v>2.6760297161719002E-2</c:v>
                  </c:pt>
                  <c:pt idx="60">
                    <c:v>3.7403171356192901E-2</c:v>
                  </c:pt>
                  <c:pt idx="61">
                    <c:v>2.6229885882391502E-2</c:v>
                  </c:pt>
                  <c:pt idx="62">
                    <c:v>1.4923753885794099E-2</c:v>
                  </c:pt>
                  <c:pt idx="63">
                    <c:v>5.95116609600767E-2</c:v>
                  </c:pt>
                  <c:pt idx="64">
                    <c:v>2.6039584659294499E-2</c:v>
                  </c:pt>
                  <c:pt idx="65">
                    <c:v>5.2408189418799503E-2</c:v>
                  </c:pt>
                  <c:pt idx="66">
                    <c:v>1.7640597574112401E-2</c:v>
                  </c:pt>
                  <c:pt idx="67">
                    <c:v>3.9058091536192399E-2</c:v>
                  </c:pt>
                  <c:pt idx="68">
                    <c:v>1.9497855216039299E-2</c:v>
                  </c:pt>
                  <c:pt idx="69">
                    <c:v>1.3080384980666101E-2</c:v>
                  </c:pt>
                  <c:pt idx="70">
                    <c:v>2.6602834210906999E-2</c:v>
                  </c:pt>
                  <c:pt idx="71">
                    <c:v>2.5071526018054801E-2</c:v>
                  </c:pt>
                  <c:pt idx="72">
                    <c:v>2.4795812273392601E-2</c:v>
                  </c:pt>
                  <c:pt idx="73">
                    <c:v>2.6511508337790798E-2</c:v>
                  </c:pt>
                  <c:pt idx="74">
                    <c:v>3.3630720316867202E-2</c:v>
                  </c:pt>
                  <c:pt idx="75">
                    <c:v>1.1159268654794E-2</c:v>
                  </c:pt>
                  <c:pt idx="76">
                    <c:v>1.86591596132611E-2</c:v>
                  </c:pt>
                  <c:pt idx="77">
                    <c:v>3.6780954932546399E-2</c:v>
                  </c:pt>
                  <c:pt idx="78">
                    <c:v>1.5523479223747499E-2</c:v>
                  </c:pt>
                  <c:pt idx="79">
                    <c:v>2.2165745569395701E-2</c:v>
                  </c:pt>
                  <c:pt idx="80">
                    <c:v>2.57286173079193E-2</c:v>
                  </c:pt>
                  <c:pt idx="81">
                    <c:v>2.0871761166892901E-2</c:v>
                  </c:pt>
                  <c:pt idx="82">
                    <c:v>3.2732692454885103E-2</c:v>
                  </c:pt>
                  <c:pt idx="83">
                    <c:v>1.7056876311994099E-2</c:v>
                  </c:pt>
                  <c:pt idx="84">
                    <c:v>2.3485416257091999E-2</c:v>
                  </c:pt>
                  <c:pt idx="85">
                    <c:v>3.4843597733167801E-2</c:v>
                  </c:pt>
                  <c:pt idx="86">
                    <c:v>2.7275665067271498E-2</c:v>
                  </c:pt>
                  <c:pt idx="87">
                    <c:v>1.88674431934087E-2</c:v>
                  </c:pt>
                  <c:pt idx="88">
                    <c:v>9.5905379478081892E-3</c:v>
                  </c:pt>
                  <c:pt idx="89">
                    <c:v>1.29327838499313E-2</c:v>
                  </c:pt>
                  <c:pt idx="90">
                    <c:v>3.3891961828573E-2</c:v>
                  </c:pt>
                  <c:pt idx="91">
                    <c:v>1.8751542754109E-2</c:v>
                  </c:pt>
                  <c:pt idx="92">
                    <c:v>1.7166559338466E-2</c:v>
                  </c:pt>
                  <c:pt idx="93">
                    <c:v>2.7845833596018599E-2</c:v>
                  </c:pt>
                  <c:pt idx="94">
                    <c:v>3.44520014122996E-2</c:v>
                  </c:pt>
                  <c:pt idx="95">
                    <c:v>2.7449508071073901E-2</c:v>
                  </c:pt>
                  <c:pt idx="96">
                    <c:v>2.2578278981890298E-2</c:v>
                  </c:pt>
                  <c:pt idx="97">
                    <c:v>4.8346194759141398E-2</c:v>
                  </c:pt>
                  <c:pt idx="98">
                    <c:v>4.09322857108083E-2</c:v>
                  </c:pt>
                  <c:pt idx="99">
                    <c:v>2.8665191530211302E-2</c:v>
                  </c:pt>
                  <c:pt idx="100">
                    <c:v>2.2657322622354901E-2</c:v>
                  </c:pt>
                  <c:pt idx="101">
                    <c:v>2.2233473739824799E-2</c:v>
                  </c:pt>
                  <c:pt idx="102">
                    <c:v>1.26558028210295E-2</c:v>
                  </c:pt>
                  <c:pt idx="103">
                    <c:v>6.8949887786414702E-3</c:v>
                  </c:pt>
                  <c:pt idx="104">
                    <c:v>1.7155222816562201E-2</c:v>
                  </c:pt>
                  <c:pt idx="105">
                    <c:v>1.6380098848133299E-2</c:v>
                  </c:pt>
                  <c:pt idx="106">
                    <c:v>2.7827884710245301E-2</c:v>
                  </c:pt>
                  <c:pt idx="107">
                    <c:v>2.49781575211564E-2</c:v>
                  </c:pt>
                  <c:pt idx="108">
                    <c:v>2.1618893432752501E-2</c:v>
                  </c:pt>
                  <c:pt idx="109">
                    <c:v>4.2866861852768702E-2</c:v>
                  </c:pt>
                  <c:pt idx="110">
                    <c:v>2.4693508430659199E-2</c:v>
                  </c:pt>
                  <c:pt idx="111">
                    <c:v>4.48280063972352E-2</c:v>
                  </c:pt>
                  <c:pt idx="112">
                    <c:v>2.7332698824006602E-2</c:v>
                  </c:pt>
                  <c:pt idx="113">
                    <c:v>4.0507369905857502E-2</c:v>
                  </c:pt>
                  <c:pt idx="114">
                    <c:v>2.5540445980439901E-2</c:v>
                  </c:pt>
                  <c:pt idx="115">
                    <c:v>3.5259543640281603E-2</c:v>
                  </c:pt>
                  <c:pt idx="116">
                    <c:v>2.9532229024759798E-2</c:v>
                  </c:pt>
                  <c:pt idx="117">
                    <c:v>8.9960388337227398E-3</c:v>
                  </c:pt>
                  <c:pt idx="118">
                    <c:v>3.0993150975992399E-2</c:v>
                  </c:pt>
                  <c:pt idx="119">
                    <c:v>2.38762002786649E-2</c:v>
                  </c:pt>
                  <c:pt idx="120">
                    <c:v>2.5366828345975999E-2</c:v>
                  </c:pt>
                  <c:pt idx="121">
                    <c:v>2.6380525454317801E-2</c:v>
                  </c:pt>
                  <c:pt idx="122">
                    <c:v>2.3269351573315201E-2</c:v>
                  </c:pt>
                  <c:pt idx="123">
                    <c:v>1.1824515372326099E-2</c:v>
                  </c:pt>
                  <c:pt idx="124">
                    <c:v>1.4438911952054699E-2</c:v>
                  </c:pt>
                  <c:pt idx="125">
                    <c:v>3.4596825931621403E-2</c:v>
                  </c:pt>
                  <c:pt idx="126">
                    <c:v>2.47763855296716E-2</c:v>
                  </c:pt>
                  <c:pt idx="127">
                    <c:v>3.00694903924821E-2</c:v>
                  </c:pt>
                  <c:pt idx="128">
                    <c:v>2.8042033362077501E-2</c:v>
                  </c:pt>
                  <c:pt idx="129">
                    <c:v>2.5166108680055199E-2</c:v>
                  </c:pt>
                  <c:pt idx="130">
                    <c:v>3.0971309874261201E-2</c:v>
                  </c:pt>
                  <c:pt idx="131">
                    <c:v>2.5091724359847901E-2</c:v>
                  </c:pt>
                  <c:pt idx="132">
                    <c:v>4.3998934574583301E-2</c:v>
                  </c:pt>
                  <c:pt idx="133">
                    <c:v>2.3679554382477201E-2</c:v>
                  </c:pt>
                  <c:pt idx="134">
                    <c:v>5.9006096550759599E-2</c:v>
                  </c:pt>
                  <c:pt idx="135">
                    <c:v>1.9830950359178999E-2</c:v>
                  </c:pt>
                  <c:pt idx="136">
                    <c:v>1.6376726284544799E-2</c:v>
                  </c:pt>
                  <c:pt idx="137">
                    <c:v>4.5758366457145698E-2</c:v>
                  </c:pt>
                  <c:pt idx="138">
                    <c:v>2.2219488444308998E-2</c:v>
                  </c:pt>
                  <c:pt idx="139">
                    <c:v>2.69803020042962E-2</c:v>
                  </c:pt>
                  <c:pt idx="140">
                    <c:v>4.17790438561359E-2</c:v>
                  </c:pt>
                  <c:pt idx="141">
                    <c:v>2.1601328586996101E-2</c:v>
                  </c:pt>
                  <c:pt idx="142">
                    <c:v>5.80456057103789E-3</c:v>
                  </c:pt>
                  <c:pt idx="143">
                    <c:v>2.4102130133085299E-2</c:v>
                  </c:pt>
                  <c:pt idx="144">
                    <c:v>3.2278060185013203E-2</c:v>
                  </c:pt>
                  <c:pt idx="145">
                    <c:v>1.48041438768848E-2</c:v>
                  </c:pt>
                  <c:pt idx="146">
                    <c:v>2.9699931193928102E-2</c:v>
                  </c:pt>
                  <c:pt idx="147">
                    <c:v>2.8427005134010801E-2</c:v>
                  </c:pt>
                  <c:pt idx="148">
                    <c:v>2.2817376048645002E-2</c:v>
                  </c:pt>
                  <c:pt idx="149">
                    <c:v>2.3984456847504401E-2</c:v>
                  </c:pt>
                  <c:pt idx="150">
                    <c:v>4.5934039496008501E-2</c:v>
                  </c:pt>
                  <c:pt idx="151">
                    <c:v>3.6350025769493199E-2</c:v>
                  </c:pt>
                  <c:pt idx="152">
                    <c:v>4.2986695861064399E-2</c:v>
                  </c:pt>
                  <c:pt idx="153">
                    <c:v>2.67538404686351E-2</c:v>
                  </c:pt>
                  <c:pt idx="154">
                    <c:v>5.2093087297532502E-2</c:v>
                  </c:pt>
                  <c:pt idx="155">
                    <c:v>1.21959898244064E-2</c:v>
                  </c:pt>
                  <c:pt idx="156">
                    <c:v>2.7346226680415201E-2</c:v>
                  </c:pt>
                  <c:pt idx="157">
                    <c:v>2.6016260811059198E-2</c:v>
                  </c:pt>
                  <c:pt idx="158">
                    <c:v>2.92435415023326E-2</c:v>
                  </c:pt>
                  <c:pt idx="159">
                    <c:v>1.4805717546129801E-2</c:v>
                  </c:pt>
                  <c:pt idx="160">
                    <c:v>1.34076898961694E-2</c:v>
                  </c:pt>
                  <c:pt idx="161">
                    <c:v>4.40058817640923E-2</c:v>
                  </c:pt>
                  <c:pt idx="162">
                    <c:v>3.3027150071178103E-2</c:v>
                  </c:pt>
                  <c:pt idx="163">
                    <c:v>2.88433577733621E-2</c:v>
                  </c:pt>
                  <c:pt idx="164">
                    <c:v>1.56707882010374E-2</c:v>
                  </c:pt>
                  <c:pt idx="165">
                    <c:v>3.5636191614041697E-2</c:v>
                  </c:pt>
                  <c:pt idx="166">
                    <c:v>1.3647524714865401E-2</c:v>
                  </c:pt>
                  <c:pt idx="167">
                    <c:v>5.04898160810709E-2</c:v>
                  </c:pt>
                  <c:pt idx="168">
                    <c:v>3.7810610330175097E-2</c:v>
                  </c:pt>
                  <c:pt idx="169">
                    <c:v>2.92675231713624E-2</c:v>
                  </c:pt>
                  <c:pt idx="170">
                    <c:v>1.8753680330961399E-2</c:v>
                  </c:pt>
                  <c:pt idx="171">
                    <c:v>2.8025672190806102E-2</c:v>
                  </c:pt>
                  <c:pt idx="172">
                    <c:v>2.5119267966686801E-2</c:v>
                  </c:pt>
                  <c:pt idx="173">
                    <c:v>3.6840226834116099E-2</c:v>
                  </c:pt>
                  <c:pt idx="174">
                    <c:v>2.1233091546511099E-2</c:v>
                  </c:pt>
                  <c:pt idx="175">
                    <c:v>2.4963857415345E-2</c:v>
                  </c:pt>
                  <c:pt idx="176">
                    <c:v>3.2917689159692697E-2</c:v>
                  </c:pt>
                  <c:pt idx="177">
                    <c:v>3.8314034826830302E-2</c:v>
                  </c:pt>
                  <c:pt idx="178">
                    <c:v>1.23535005800187E-2</c:v>
                  </c:pt>
                  <c:pt idx="179">
                    <c:v>3.4676249823397801E-2</c:v>
                  </c:pt>
                  <c:pt idx="180">
                    <c:v>9.5382630833963297E-3</c:v>
                  </c:pt>
                  <c:pt idx="181">
                    <c:v>3.9004972741019897E-2</c:v>
                  </c:pt>
                  <c:pt idx="182">
                    <c:v>3.1785012243150099E-2</c:v>
                  </c:pt>
                  <c:pt idx="183">
                    <c:v>1.8191546329683499E-2</c:v>
                  </c:pt>
                  <c:pt idx="184">
                    <c:v>1.1843626037340699E-2</c:v>
                  </c:pt>
                  <c:pt idx="185">
                    <c:v>3.0704755756737E-2</c:v>
                  </c:pt>
                  <c:pt idx="186">
                    <c:v>2.8114997783532499E-2</c:v>
                  </c:pt>
                  <c:pt idx="187">
                    <c:v>2.36834692634432E-2</c:v>
                  </c:pt>
                  <c:pt idx="188">
                    <c:v>3.2910907555598397E-2</c:v>
                  </c:pt>
                  <c:pt idx="189">
                    <c:v>3.7902473763967402E-2</c:v>
                  </c:pt>
                  <c:pt idx="190">
                    <c:v>4.60854560581829E-2</c:v>
                  </c:pt>
                  <c:pt idx="191">
                    <c:v>2.4100635909343499E-2</c:v>
                  </c:pt>
                  <c:pt idx="192">
                    <c:v>2.0644060864833499E-2</c:v>
                  </c:pt>
                  <c:pt idx="193">
                    <c:v>4.6874121840406298E-2</c:v>
                  </c:pt>
                  <c:pt idx="194">
                    <c:v>2.0543685977272901E-2</c:v>
                  </c:pt>
                  <c:pt idx="195">
                    <c:v>4.0326165877392101E-2</c:v>
                  </c:pt>
                  <c:pt idx="196">
                    <c:v>2.05356658273225E-2</c:v>
                  </c:pt>
                  <c:pt idx="197">
                    <c:v>5.5995692155140199E-2</c:v>
                  </c:pt>
                  <c:pt idx="198">
                    <c:v>3.3621584795793399E-2</c:v>
                  </c:pt>
                  <c:pt idx="199">
                    <c:v>3.6222524609048998E-2</c:v>
                  </c:pt>
                  <c:pt idx="200">
                    <c:v>4.1213093916921698E-2</c:v>
                  </c:pt>
                  <c:pt idx="201">
                    <c:v>3.55853596931602E-2</c:v>
                  </c:pt>
                  <c:pt idx="202">
                    <c:v>4.0450681311077201E-2</c:v>
                  </c:pt>
                  <c:pt idx="203">
                    <c:v>3.1592786761972698E-2</c:v>
                  </c:pt>
                  <c:pt idx="204">
                    <c:v>1.7475707124907099E-2</c:v>
                  </c:pt>
                  <c:pt idx="205">
                    <c:v>1.1348757420820201E-2</c:v>
                  </c:pt>
                  <c:pt idx="206">
                    <c:v>4.5665239469458899E-2</c:v>
                  </c:pt>
                  <c:pt idx="207">
                    <c:v>1.9960130080666699E-2</c:v>
                  </c:pt>
                  <c:pt idx="208">
                    <c:v>5.8918410848403401E-2</c:v>
                  </c:pt>
                  <c:pt idx="209">
                    <c:v>3.1457175500691201E-2</c:v>
                  </c:pt>
                  <c:pt idx="210">
                    <c:v>2.7546212171160499E-2</c:v>
                  </c:pt>
                  <c:pt idx="211">
                    <c:v>1.50869286062928E-2</c:v>
                  </c:pt>
                  <c:pt idx="212">
                    <c:v>3.2314708928795302E-2</c:v>
                  </c:pt>
                  <c:pt idx="213">
                    <c:v>8.59803085529574E-3</c:v>
                  </c:pt>
                  <c:pt idx="214">
                    <c:v>4.1742358403497097E-2</c:v>
                  </c:pt>
                  <c:pt idx="215">
                    <c:v>8.5771391019865799E-3</c:v>
                  </c:pt>
                  <c:pt idx="216">
                    <c:v>2.7558387964115898E-2</c:v>
                  </c:pt>
                  <c:pt idx="217">
                    <c:v>2.0121393712949302E-2</c:v>
                  </c:pt>
                  <c:pt idx="218">
                    <c:v>2.5450378936768998E-2</c:v>
                  </c:pt>
                  <c:pt idx="219">
                    <c:v>3.1311042776728998E-2</c:v>
                  </c:pt>
                  <c:pt idx="220">
                    <c:v>4.3608591702206899E-3</c:v>
                  </c:pt>
                  <c:pt idx="221">
                    <c:v>3.5867976339669497E-2</c:v>
                  </c:pt>
                  <c:pt idx="222">
                    <c:v>5.2650597068645097E-2</c:v>
                  </c:pt>
                  <c:pt idx="223">
                    <c:v>2.3914092678208199E-2</c:v>
                  </c:pt>
                  <c:pt idx="224">
                    <c:v>2.6126393119732201E-2</c:v>
                  </c:pt>
                  <c:pt idx="225">
                    <c:v>3.0477637699076798E-2</c:v>
                  </c:pt>
                  <c:pt idx="226">
                    <c:v>3.5963863096153598E-2</c:v>
                  </c:pt>
                  <c:pt idx="227">
                    <c:v>2.3240476860972002E-2</c:v>
                  </c:pt>
                  <c:pt idx="228">
                    <c:v>4.7202351669259901E-2</c:v>
                  </c:pt>
                  <c:pt idx="229">
                    <c:v>3.7473657983237402E-2</c:v>
                  </c:pt>
                  <c:pt idx="230">
                    <c:v>5.0170163785718203E-2</c:v>
                  </c:pt>
                  <c:pt idx="231">
                    <c:v>3.10672881606819E-2</c:v>
                  </c:pt>
                  <c:pt idx="232">
                    <c:v>2.40275903806377E-2</c:v>
                  </c:pt>
                  <c:pt idx="233">
                    <c:v>3.2452637287255601E-2</c:v>
                  </c:pt>
                  <c:pt idx="234">
                    <c:v>4.5979815072515799E-2</c:v>
                  </c:pt>
                  <c:pt idx="235">
                    <c:v>2.38541167271045E-2</c:v>
                  </c:pt>
                  <c:pt idx="236">
                    <c:v>3.1347302834292101E-2</c:v>
                  </c:pt>
                  <c:pt idx="237">
                    <c:v>3.3090444952835703E-2</c:v>
                  </c:pt>
                  <c:pt idx="238">
                    <c:v>0.121801508809493</c:v>
                  </c:pt>
                  <c:pt idx="239">
                    <c:v>3.8613635388708802E-2</c:v>
                  </c:pt>
                  <c:pt idx="240">
                    <c:v>1.6212107864857599E-2</c:v>
                  </c:pt>
                  <c:pt idx="241">
                    <c:v>6.4250007195807604E-2</c:v>
                  </c:pt>
                  <c:pt idx="242">
                    <c:v>5.1221255800487697E-2</c:v>
                  </c:pt>
                  <c:pt idx="243">
                    <c:v>4.11856015157974E-2</c:v>
                  </c:pt>
                  <c:pt idx="244">
                    <c:v>1.7610131281396602E-2</c:v>
                  </c:pt>
                  <c:pt idx="245">
                    <c:v>3.41143758347267E-2</c:v>
                  </c:pt>
                  <c:pt idx="246">
                    <c:v>5.6670023967659897E-2</c:v>
                  </c:pt>
                  <c:pt idx="247">
                    <c:v>4.0791561523054097E-2</c:v>
                  </c:pt>
                  <c:pt idx="248">
                    <c:v>4.8739088032648002E-2</c:v>
                  </c:pt>
                  <c:pt idx="249">
                    <c:v>4.41909248231524E-2</c:v>
                  </c:pt>
                  <c:pt idx="250">
                    <c:v>3.5280989073848003E-2</c:v>
                  </c:pt>
                  <c:pt idx="251">
                    <c:v>6.2177510726220603E-2</c:v>
                  </c:pt>
                  <c:pt idx="252">
                    <c:v>2.0169001021488699E-2</c:v>
                  </c:pt>
                  <c:pt idx="253">
                    <c:v>4.91942700586087E-2</c:v>
                  </c:pt>
                  <c:pt idx="254">
                    <c:v>5.1704424601346097E-2</c:v>
                  </c:pt>
                  <c:pt idx="255">
                    <c:v>3.84186915475574E-2</c:v>
                  </c:pt>
                  <c:pt idx="256">
                    <c:v>3.8969045555403703E-2</c:v>
                  </c:pt>
                  <c:pt idx="257">
                    <c:v>3.7704293639276798E-2</c:v>
                  </c:pt>
                  <c:pt idx="258">
                    <c:v>1.3605788603859199E-2</c:v>
                  </c:pt>
                  <c:pt idx="259">
                    <c:v>2.3305656935448699E-2</c:v>
                  </c:pt>
                  <c:pt idx="260">
                    <c:v>2.5823684419555199E-2</c:v>
                  </c:pt>
                  <c:pt idx="261">
                    <c:v>5.0278973531216499E-2</c:v>
                  </c:pt>
                  <c:pt idx="262">
                    <c:v>2.9519479244585901E-2</c:v>
                  </c:pt>
                  <c:pt idx="263">
                    <c:v>4.6506550448149497E-2</c:v>
                  </c:pt>
                  <c:pt idx="264">
                    <c:v>2.5129565068664501E-2</c:v>
                  </c:pt>
                  <c:pt idx="265">
                    <c:v>7.3138210751811206E-2</c:v>
                  </c:pt>
                  <c:pt idx="266">
                    <c:v>5.38390208228052E-2</c:v>
                  </c:pt>
                  <c:pt idx="267">
                    <c:v>1.49014005606666E-2</c:v>
                  </c:pt>
                  <c:pt idx="268">
                    <c:v>1.37199234609527E-2</c:v>
                  </c:pt>
                  <c:pt idx="269">
                    <c:v>3.6084925192455902E-2</c:v>
                  </c:pt>
                  <c:pt idx="270">
                    <c:v>4.1780158293838597E-2</c:v>
                  </c:pt>
                  <c:pt idx="271">
                    <c:v>1.94062409252223E-2</c:v>
                  </c:pt>
                  <c:pt idx="272">
                    <c:v>4.1525372092054397E-2</c:v>
                  </c:pt>
                  <c:pt idx="273">
                    <c:v>4.1662126359613402E-2</c:v>
                  </c:pt>
                  <c:pt idx="274">
                    <c:v>2.3766086444925501E-2</c:v>
                  </c:pt>
                  <c:pt idx="275">
                    <c:v>3.8973370977860002E-2</c:v>
                  </c:pt>
                  <c:pt idx="276">
                    <c:v>2.9791243793042599E-2</c:v>
                  </c:pt>
                  <c:pt idx="277">
                    <c:v>3.55046454191403E-2</c:v>
                  </c:pt>
                  <c:pt idx="278">
                    <c:v>2.5439687415730598E-2</c:v>
                  </c:pt>
                  <c:pt idx="279">
                    <c:v>4.5645102247982197E-2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1"/>
            <c:plus>
              <c:numRef>
                <c:f>'Paul dataset'!$AE$2:$AE$281</c:f>
                <c:numCache>
                  <c:formatCode>General</c:formatCode>
                  <c:ptCount val="280"/>
                  <c:pt idx="0">
                    <c:v>1.294272130234661E-2</c:v>
                  </c:pt>
                  <c:pt idx="1">
                    <c:v>0.13564968058771079</c:v>
                  </c:pt>
                  <c:pt idx="2">
                    <c:v>2.036184534790964E-3</c:v>
                  </c:pt>
                  <c:pt idx="3">
                    <c:v>2.5993188017183928E-2</c:v>
                  </c:pt>
                  <c:pt idx="4">
                    <c:v>7.9847201489404197E-3</c:v>
                  </c:pt>
                  <c:pt idx="5">
                    <c:v>8.3358417933041972E-4</c:v>
                  </c:pt>
                  <c:pt idx="6">
                    <c:v>7.450924975955997E-2</c:v>
                  </c:pt>
                  <c:pt idx="7">
                    <c:v>9.9051471933741999E-3</c:v>
                  </c:pt>
                  <c:pt idx="8">
                    <c:v>1.279854830003236E-2</c:v>
                  </c:pt>
                  <c:pt idx="9">
                    <c:v>7.6625200412675551E-2</c:v>
                  </c:pt>
                  <c:pt idx="10">
                    <c:v>2.0821699580131181E-3</c:v>
                  </c:pt>
                  <c:pt idx="11">
                    <c:v>2.6038343250464141E-2</c:v>
                  </c:pt>
                  <c:pt idx="12">
                    <c:v>4.4452682561833979E-3</c:v>
                  </c:pt>
                  <c:pt idx="13">
                    <c:v>7.2754748017715212E-3</c:v>
                  </c:pt>
                  <c:pt idx="14">
                    <c:v>7.7279653570898983E-3</c:v>
                  </c:pt>
                  <c:pt idx="15">
                    <c:v>9.8694181004846913E-3</c:v>
                  </c:pt>
                  <c:pt idx="16">
                    <c:v>8.8868664621583552E-3</c:v>
                  </c:pt>
                  <c:pt idx="17">
                    <c:v>2.356014299132036E-3</c:v>
                  </c:pt>
                  <c:pt idx="18">
                    <c:v>1.996712324977687E-3</c:v>
                  </c:pt>
                  <c:pt idx="19">
                    <c:v>8.2142811712026149E-3</c:v>
                  </c:pt>
                  <c:pt idx="20">
                    <c:v>5.8936630547841134E-3</c:v>
                  </c:pt>
                  <c:pt idx="21">
                    <c:v>1.5457630803294761E-2</c:v>
                  </c:pt>
                  <c:pt idx="22">
                    <c:v>1.545054726564961E-2</c:v>
                  </c:pt>
                  <c:pt idx="23">
                    <c:v>0.1095793548520949</c:v>
                  </c:pt>
                  <c:pt idx="24">
                    <c:v>1.5412690854560329E-3</c:v>
                  </c:pt>
                  <c:pt idx="25">
                    <c:v>8.3843310799998863E-2</c:v>
                  </c:pt>
                  <c:pt idx="26">
                    <c:v>9.9003637157663894E-3</c:v>
                  </c:pt>
                  <c:pt idx="27">
                    <c:v>1.6483084154857709E-2</c:v>
                  </c:pt>
                  <c:pt idx="28">
                    <c:v>1.0982166216606699E-2</c:v>
                  </c:pt>
                  <c:pt idx="29">
                    <c:v>2.6390732279320581E-2</c:v>
                  </c:pt>
                  <c:pt idx="30">
                    <c:v>1.4773616102523609E-2</c:v>
                  </c:pt>
                  <c:pt idx="31">
                    <c:v>4.8683894411408824E-3</c:v>
                  </c:pt>
                  <c:pt idx="32">
                    <c:v>2.527678793962157E-2</c:v>
                  </c:pt>
                  <c:pt idx="33">
                    <c:v>8.5253542053357802E-3</c:v>
                  </c:pt>
                  <c:pt idx="34">
                    <c:v>4.4276436015314749E-4</c:v>
                  </c:pt>
                  <c:pt idx="35">
                    <c:v>2.217291393649267E-3</c:v>
                  </c:pt>
                  <c:pt idx="36">
                    <c:v>1.30730254302091E-2</c:v>
                  </c:pt>
                  <c:pt idx="37">
                    <c:v>1.025669759223596E-2</c:v>
                  </c:pt>
                  <c:pt idx="38">
                    <c:v>5.0689870632973427E-3</c:v>
                  </c:pt>
                  <c:pt idx="39">
                    <c:v>7.9816260917613055E-2</c:v>
                  </c:pt>
                  <c:pt idx="40">
                    <c:v>1.0012592683189109E-3</c:v>
                  </c:pt>
                  <c:pt idx="41">
                    <c:v>5.5996708174201491E-3</c:v>
                  </c:pt>
                  <c:pt idx="42">
                    <c:v>2.7564668502500549E-2</c:v>
                  </c:pt>
                  <c:pt idx="43">
                    <c:v>3.5037783085195069E-2</c:v>
                  </c:pt>
                  <c:pt idx="44">
                    <c:v>1.3959576260723741E-2</c:v>
                  </c:pt>
                  <c:pt idx="45">
                    <c:v>2.1071891910074959E-2</c:v>
                  </c:pt>
                  <c:pt idx="46">
                    <c:v>7.200705410837587E-3</c:v>
                  </c:pt>
                  <c:pt idx="47">
                    <c:v>3.675476643343879E-3</c:v>
                  </c:pt>
                  <c:pt idx="48">
                    <c:v>2.4140816560313309E-2</c:v>
                  </c:pt>
                  <c:pt idx="49">
                    <c:v>1.239287752952432E-2</c:v>
                  </c:pt>
                  <c:pt idx="50">
                    <c:v>1.6749806865949901E-2</c:v>
                  </c:pt>
                  <c:pt idx="51">
                    <c:v>7.4351753328947808E-3</c:v>
                  </c:pt>
                  <c:pt idx="52">
                    <c:v>5.6348969423995711E-3</c:v>
                  </c:pt>
                  <c:pt idx="53">
                    <c:v>1.7024806801462612E-2</c:v>
                  </c:pt>
                  <c:pt idx="54">
                    <c:v>1.4426317800383099E-2</c:v>
                  </c:pt>
                  <c:pt idx="55">
                    <c:v>7.9230982780971338E-3</c:v>
                  </c:pt>
                  <c:pt idx="56">
                    <c:v>4.8842084080157992E-3</c:v>
                  </c:pt>
                  <c:pt idx="57">
                    <c:v>4.5110369876273987E-3</c:v>
                  </c:pt>
                  <c:pt idx="58">
                    <c:v>4.6622578129600313E-3</c:v>
                  </c:pt>
                  <c:pt idx="59">
                    <c:v>5.7174241468143519E-3</c:v>
                  </c:pt>
                  <c:pt idx="60">
                    <c:v>1.268026751280985E-2</c:v>
                  </c:pt>
                  <c:pt idx="61">
                    <c:v>2.2807897106579222E-2</c:v>
                  </c:pt>
                  <c:pt idx="62">
                    <c:v>6.6612852950861407E-3</c:v>
                  </c:pt>
                  <c:pt idx="63">
                    <c:v>4.6090906849450084E-3</c:v>
                  </c:pt>
                  <c:pt idx="64">
                    <c:v>0.13465811620461449</c:v>
                  </c:pt>
                  <c:pt idx="65">
                    <c:v>3.428724596226021E-2</c:v>
                  </c:pt>
                  <c:pt idx="66">
                    <c:v>1.082459485920721E-2</c:v>
                  </c:pt>
                  <c:pt idx="67">
                    <c:v>1.0309744026150799E-2</c:v>
                  </c:pt>
                  <c:pt idx="68">
                    <c:v>1.8647182097790319E-2</c:v>
                  </c:pt>
                  <c:pt idx="69">
                    <c:v>2.2908287225334941E-2</c:v>
                  </c:pt>
                  <c:pt idx="70">
                    <c:v>3.9700339843523362E-3</c:v>
                  </c:pt>
                  <c:pt idx="71">
                    <c:v>8.8015052671100522E-3</c:v>
                  </c:pt>
                  <c:pt idx="72">
                    <c:v>5.8426504836833206E-4</c:v>
                  </c:pt>
                  <c:pt idx="73">
                    <c:v>3.4768403087800251E-3</c:v>
                  </c:pt>
                  <c:pt idx="74">
                    <c:v>7.6645624894044516E-3</c:v>
                  </c:pt>
                  <c:pt idx="75">
                    <c:v>1.0539073370809121E-2</c:v>
                  </c:pt>
                  <c:pt idx="76">
                    <c:v>1.253065730196808E-3</c:v>
                  </c:pt>
                  <c:pt idx="77">
                    <c:v>7.9876469566824305E-3</c:v>
                  </c:pt>
                  <c:pt idx="78">
                    <c:v>1.3037028380568001E-3</c:v>
                  </c:pt>
                  <c:pt idx="79">
                    <c:v>2.5050274942234299E-3</c:v>
                  </c:pt>
                  <c:pt idx="80">
                    <c:v>5.4131337241158546E-3</c:v>
                  </c:pt>
                  <c:pt idx="81">
                    <c:v>1.0548028526300379E-2</c:v>
                  </c:pt>
                  <c:pt idx="82">
                    <c:v>8.3570130085490121E-3</c:v>
                  </c:pt>
                  <c:pt idx="83">
                    <c:v>1.0867550787295991E-2</c:v>
                  </c:pt>
                  <c:pt idx="84">
                    <c:v>6.1023433734117916E-3</c:v>
                  </c:pt>
                  <c:pt idx="85">
                    <c:v>1.0594244265274321E-3</c:v>
                  </c:pt>
                  <c:pt idx="86">
                    <c:v>1.861205107463319E-2</c:v>
                  </c:pt>
                  <c:pt idx="87">
                    <c:v>5.8191112966586144E-3</c:v>
                  </c:pt>
                  <c:pt idx="88">
                    <c:v>1.7191590218186718E-2</c:v>
                  </c:pt>
                  <c:pt idx="89">
                    <c:v>9.7612671309064123E-4</c:v>
                  </c:pt>
                  <c:pt idx="90">
                    <c:v>7.9913216928039314E-3</c:v>
                  </c:pt>
                  <c:pt idx="91">
                    <c:v>3.889109908174722E-3</c:v>
                  </c:pt>
                  <c:pt idx="92">
                    <c:v>7.5839128856669486E-3</c:v>
                  </c:pt>
                  <c:pt idx="93">
                    <c:v>1.2617656079738819E-3</c:v>
                  </c:pt>
                  <c:pt idx="94">
                    <c:v>1.14185235790685E-3</c:v>
                  </c:pt>
                  <c:pt idx="95">
                    <c:v>6.5188749716355073E-3</c:v>
                  </c:pt>
                  <c:pt idx="96">
                    <c:v>2.2318452511214939E-3</c:v>
                  </c:pt>
                  <c:pt idx="97">
                    <c:v>2.008972535661974E-2</c:v>
                  </c:pt>
                  <c:pt idx="98">
                    <c:v>3.1432604308156459E-3</c:v>
                  </c:pt>
                  <c:pt idx="99">
                    <c:v>2.0999593922924061E-2</c:v>
                  </c:pt>
                  <c:pt idx="100">
                    <c:v>4.8603070810243933E-3</c:v>
                  </c:pt>
                  <c:pt idx="101">
                    <c:v>2.1054633707947778E-3</c:v>
                  </c:pt>
                  <c:pt idx="102">
                    <c:v>7.7382065490691748E-3</c:v>
                  </c:pt>
                  <c:pt idx="103">
                    <c:v>4.3636082225206223E-3</c:v>
                  </c:pt>
                  <c:pt idx="104">
                    <c:v>2.997222992303717E-3</c:v>
                  </c:pt>
                  <c:pt idx="105">
                    <c:v>1.9966591062924839E-3</c:v>
                  </c:pt>
                  <c:pt idx="106">
                    <c:v>2.391403548404538E-2</c:v>
                  </c:pt>
                  <c:pt idx="107">
                    <c:v>1.5172200397242661E-3</c:v>
                  </c:pt>
                  <c:pt idx="108">
                    <c:v>1.43344168732317E-2</c:v>
                  </c:pt>
                  <c:pt idx="109">
                    <c:v>4.549722821809263E-3</c:v>
                  </c:pt>
                  <c:pt idx="110">
                    <c:v>4.9684040093986763E-3</c:v>
                  </c:pt>
                  <c:pt idx="111">
                    <c:v>4.6185748684066828E-3</c:v>
                  </c:pt>
                  <c:pt idx="112">
                    <c:v>3.5391291986445257E-2</c:v>
                  </c:pt>
                  <c:pt idx="113">
                    <c:v>5.1552723590308257E-3</c:v>
                  </c:pt>
                  <c:pt idx="114">
                    <c:v>3.8137878283688489E-2</c:v>
                  </c:pt>
                  <c:pt idx="115">
                    <c:v>2.6328187804412948E-3</c:v>
                  </c:pt>
                  <c:pt idx="116">
                    <c:v>1.8800045979499851E-2</c:v>
                  </c:pt>
                  <c:pt idx="117">
                    <c:v>5.6408252427047709E-2</c:v>
                  </c:pt>
                  <c:pt idx="118">
                    <c:v>7.5193766450612504E-3</c:v>
                  </c:pt>
                  <c:pt idx="119">
                    <c:v>1.9891376971380541E-2</c:v>
                  </c:pt>
                  <c:pt idx="120">
                    <c:v>3.478291588400436E-2</c:v>
                  </c:pt>
                  <c:pt idx="121">
                    <c:v>5.7141767520572082E-2</c:v>
                  </c:pt>
                  <c:pt idx="122">
                    <c:v>3.1540557466290318E-3</c:v>
                  </c:pt>
                  <c:pt idx="123">
                    <c:v>3.2886241146487961E-3</c:v>
                  </c:pt>
                  <c:pt idx="124">
                    <c:v>2.7955393491889912E-3</c:v>
                  </c:pt>
                  <c:pt idx="125">
                    <c:v>1.434613613419675E-2</c:v>
                  </c:pt>
                  <c:pt idx="126">
                    <c:v>4.7617102736222383E-3</c:v>
                  </c:pt>
                  <c:pt idx="127">
                    <c:v>1.00292724225162E-2</c:v>
                  </c:pt>
                  <c:pt idx="128">
                    <c:v>1.0959715520701369E-2</c:v>
                  </c:pt>
                  <c:pt idx="129">
                    <c:v>5.201109430586915E-2</c:v>
                  </c:pt>
                  <c:pt idx="130">
                    <c:v>1.596238906689508E-2</c:v>
                  </c:pt>
                  <c:pt idx="131">
                    <c:v>5.4052229013784444E-3</c:v>
                  </c:pt>
                  <c:pt idx="132">
                    <c:v>2.9600093819201059E-2</c:v>
                  </c:pt>
                  <c:pt idx="133">
                    <c:v>3.0703944482479682E-2</c:v>
                  </c:pt>
                  <c:pt idx="134">
                    <c:v>4.2843730899831567E-2</c:v>
                  </c:pt>
                  <c:pt idx="135">
                    <c:v>2.195615167210585E-2</c:v>
                  </c:pt>
                  <c:pt idx="136">
                    <c:v>1.2068605580688729E-2</c:v>
                  </c:pt>
                  <c:pt idx="137">
                    <c:v>6.8565330153830539E-2</c:v>
                  </c:pt>
                  <c:pt idx="138">
                    <c:v>1.9711639632541501E-2</c:v>
                  </c:pt>
                  <c:pt idx="139">
                    <c:v>1.5042595441486161E-2</c:v>
                  </c:pt>
                  <c:pt idx="140">
                    <c:v>2.280717791957405E-2</c:v>
                  </c:pt>
                  <c:pt idx="141">
                    <c:v>6.3001400870721355E-2</c:v>
                  </c:pt>
                  <c:pt idx="142">
                    <c:v>1.784092842334572E-3</c:v>
                  </c:pt>
                  <c:pt idx="143">
                    <c:v>2.341325267664297E-2</c:v>
                  </c:pt>
                  <c:pt idx="144">
                    <c:v>3.6606054444857259E-3</c:v>
                  </c:pt>
                  <c:pt idx="145">
                    <c:v>6.9406696631654288E-3</c:v>
                  </c:pt>
                  <c:pt idx="146">
                    <c:v>2.0826000064980432E-2</c:v>
                  </c:pt>
                  <c:pt idx="147">
                    <c:v>4.7540289840916371E-2</c:v>
                  </c:pt>
                  <c:pt idx="148">
                    <c:v>1.9356047120482351E-2</c:v>
                  </c:pt>
                  <c:pt idx="149">
                    <c:v>5.4006589267368198E-2</c:v>
                  </c:pt>
                  <c:pt idx="150">
                    <c:v>1.027008251534612E-2</c:v>
                  </c:pt>
                  <c:pt idx="151">
                    <c:v>3.0725218456701429E-2</c:v>
                  </c:pt>
                  <c:pt idx="152">
                    <c:v>2.5577205187964681E-2</c:v>
                  </c:pt>
                  <c:pt idx="153">
                    <c:v>9.4266062615136134E-3</c:v>
                  </c:pt>
                  <c:pt idx="154">
                    <c:v>1.0900394773784121E-2</c:v>
                  </c:pt>
                  <c:pt idx="155">
                    <c:v>1.983623309944647E-2</c:v>
                  </c:pt>
                  <c:pt idx="156">
                    <c:v>3.1474640979271183E-2</c:v>
                  </c:pt>
                  <c:pt idx="157">
                    <c:v>1.3868866505368701E-2</c:v>
                  </c:pt>
                  <c:pt idx="158">
                    <c:v>1.179357393996594E-2</c:v>
                  </c:pt>
                  <c:pt idx="159">
                    <c:v>1.71285786245855E-3</c:v>
                  </c:pt>
                  <c:pt idx="160">
                    <c:v>2.174052856136708E-2</c:v>
                  </c:pt>
                  <c:pt idx="161">
                    <c:v>2.6975937400583992E-2</c:v>
                  </c:pt>
                  <c:pt idx="162">
                    <c:v>1.818278693797035E-2</c:v>
                  </c:pt>
                  <c:pt idx="163">
                    <c:v>2.900922766400655E-2</c:v>
                  </c:pt>
                  <c:pt idx="164">
                    <c:v>5.9655336236663907E-2</c:v>
                  </c:pt>
                  <c:pt idx="165">
                    <c:v>3.9033567499420621E-2</c:v>
                  </c:pt>
                  <c:pt idx="166">
                    <c:v>1.8752373116772272E-2</c:v>
                  </c:pt>
                  <c:pt idx="167">
                    <c:v>3.5291035476340358E-3</c:v>
                  </c:pt>
                  <c:pt idx="168">
                    <c:v>1.5687190190832478E-2</c:v>
                  </c:pt>
                  <c:pt idx="169">
                    <c:v>2.6721786500665749E-2</c:v>
                  </c:pt>
                  <c:pt idx="170">
                    <c:v>6.9204995629040172E-2</c:v>
                  </c:pt>
                  <c:pt idx="171">
                    <c:v>2.280240188453261E-2</c:v>
                  </c:pt>
                  <c:pt idx="172">
                    <c:v>2.0508951219114849E-2</c:v>
                  </c:pt>
                  <c:pt idx="173">
                    <c:v>1.1784762864275629E-2</c:v>
                  </c:pt>
                  <c:pt idx="174">
                    <c:v>6.4933533378179739E-2</c:v>
                  </c:pt>
                  <c:pt idx="175">
                    <c:v>5.0650981064293638E-2</c:v>
                  </c:pt>
                  <c:pt idx="176">
                    <c:v>3.7602993437686458E-2</c:v>
                  </c:pt>
                  <c:pt idx="177">
                    <c:v>1.4214580323430081E-2</c:v>
                  </c:pt>
                  <c:pt idx="178">
                    <c:v>1.316081368376611E-2</c:v>
                  </c:pt>
                  <c:pt idx="179">
                    <c:v>4.8721130998298237E-2</c:v>
                  </c:pt>
                  <c:pt idx="180">
                    <c:v>2.9618743120795401E-2</c:v>
                  </c:pt>
                  <c:pt idx="181">
                    <c:v>2.506965035899289E-2</c:v>
                  </c:pt>
                  <c:pt idx="182">
                    <c:v>8.6300508007277257E-3</c:v>
                  </c:pt>
                  <c:pt idx="183">
                    <c:v>7.3981459001744854E-3</c:v>
                  </c:pt>
                  <c:pt idx="184">
                    <c:v>1.691342001550105E-2</c:v>
                  </c:pt>
                  <c:pt idx="185">
                    <c:v>4.8760849036629458E-3</c:v>
                  </c:pt>
                  <c:pt idx="186">
                    <c:v>2.707809085233322E-3</c:v>
                  </c:pt>
                  <c:pt idx="187">
                    <c:v>1.8042976603181979E-2</c:v>
                  </c:pt>
                  <c:pt idx="188">
                    <c:v>1.6615342661960391E-2</c:v>
                  </c:pt>
                  <c:pt idx="189">
                    <c:v>2.2264469849430469E-2</c:v>
                  </c:pt>
                  <c:pt idx="190">
                    <c:v>3.343370308282935E-2</c:v>
                  </c:pt>
                  <c:pt idx="191">
                    <c:v>2.907263379726506E-2</c:v>
                  </c:pt>
                  <c:pt idx="192">
                    <c:v>1.8177135222527719E-2</c:v>
                  </c:pt>
                  <c:pt idx="193">
                    <c:v>4.2484549615113908E-2</c:v>
                  </c:pt>
                  <c:pt idx="194">
                    <c:v>1.17811873430172E-2</c:v>
                  </c:pt>
                  <c:pt idx="195">
                    <c:v>1.131025301858081E-2</c:v>
                  </c:pt>
                  <c:pt idx="196">
                    <c:v>4.2781325898821332E-2</c:v>
                  </c:pt>
                  <c:pt idx="197">
                    <c:v>4.5211924668851697E-3</c:v>
                  </c:pt>
                  <c:pt idx="198">
                    <c:v>9.5605703641822148E-3</c:v>
                  </c:pt>
                  <c:pt idx="199">
                    <c:v>9.1988579553878291E-3</c:v>
                  </c:pt>
                  <c:pt idx="200">
                    <c:v>1.587349930252108E-2</c:v>
                  </c:pt>
                  <c:pt idx="201">
                    <c:v>2.525022903617799E-2</c:v>
                  </c:pt>
                  <c:pt idx="202">
                    <c:v>2.3663241993457249E-2</c:v>
                  </c:pt>
                  <c:pt idx="203">
                    <c:v>2.3134473714520931E-2</c:v>
                  </c:pt>
                  <c:pt idx="204">
                    <c:v>1.506848913820889E-2</c:v>
                  </c:pt>
                  <c:pt idx="205">
                    <c:v>1.143159412873271E-2</c:v>
                  </c:pt>
                  <c:pt idx="206">
                    <c:v>1.9001075258906871E-2</c:v>
                  </c:pt>
                  <c:pt idx="207">
                    <c:v>6.9017806248203042E-2</c:v>
                  </c:pt>
                  <c:pt idx="208">
                    <c:v>4.7298935409920383E-2</c:v>
                  </c:pt>
                  <c:pt idx="209">
                    <c:v>5.7828349013787042E-2</c:v>
                  </c:pt>
                  <c:pt idx="210">
                    <c:v>8.6987900905289503E-3</c:v>
                  </c:pt>
                  <c:pt idx="211">
                    <c:v>3.0496499881497049E-2</c:v>
                  </c:pt>
                  <c:pt idx="212">
                    <c:v>2.4473382732565632E-2</c:v>
                  </c:pt>
                  <c:pt idx="213">
                    <c:v>1.0064982028219789E-2</c:v>
                  </c:pt>
                  <c:pt idx="214">
                    <c:v>4.8001454944511879E-3</c:v>
                  </c:pt>
                  <c:pt idx="215">
                    <c:v>1.332244245154578E-2</c:v>
                  </c:pt>
                  <c:pt idx="216">
                    <c:v>1.1695610224717899E-2</c:v>
                  </c:pt>
                  <c:pt idx="217">
                    <c:v>4.74797710305657E-2</c:v>
                  </c:pt>
                  <c:pt idx="218">
                    <c:v>1.113608703623724E-2</c:v>
                  </c:pt>
                  <c:pt idx="219">
                    <c:v>1.69596309473302E-2</c:v>
                  </c:pt>
                  <c:pt idx="220">
                    <c:v>2.2845418260648349E-2</c:v>
                  </c:pt>
                  <c:pt idx="221">
                    <c:v>1.5464271200114829E-2</c:v>
                  </c:pt>
                  <c:pt idx="222">
                    <c:v>1.7885523533009779E-2</c:v>
                  </c:pt>
                  <c:pt idx="223">
                    <c:v>9.6892921738277182E-3</c:v>
                  </c:pt>
                  <c:pt idx="224">
                    <c:v>1.2647578465889301E-2</c:v>
                  </c:pt>
                  <c:pt idx="225">
                    <c:v>5.0158482010055343E-2</c:v>
                  </c:pt>
                  <c:pt idx="226">
                    <c:v>7.9809867064142472E-3</c:v>
                  </c:pt>
                  <c:pt idx="227">
                    <c:v>8.3627670827392201E-3</c:v>
                  </c:pt>
                  <c:pt idx="228">
                    <c:v>4.1372348498160526E-3</c:v>
                  </c:pt>
                  <c:pt idx="229">
                    <c:v>9.804417129259918E-3</c:v>
                  </c:pt>
                  <c:pt idx="230">
                    <c:v>5.7041708547224436E-3</c:v>
                  </c:pt>
                  <c:pt idx="231">
                    <c:v>1.0547354311653699E-2</c:v>
                  </c:pt>
                  <c:pt idx="232">
                    <c:v>8.0344778856528097E-3</c:v>
                  </c:pt>
                  <c:pt idx="233">
                    <c:v>1.1206178661602941E-3</c:v>
                  </c:pt>
                  <c:pt idx="234">
                    <c:v>7.2485518527023287E-3</c:v>
                  </c:pt>
                  <c:pt idx="235">
                    <c:v>1.110437647602935E-2</c:v>
                  </c:pt>
                  <c:pt idx="236">
                    <c:v>1.973387115321289E-2</c:v>
                  </c:pt>
                  <c:pt idx="237">
                    <c:v>8.627212189699144E-3</c:v>
                  </c:pt>
                  <c:pt idx="238">
                    <c:v>3.475350910985729E-3</c:v>
                  </c:pt>
                  <c:pt idx="239">
                    <c:v>1.2000120284374071E-2</c:v>
                  </c:pt>
                  <c:pt idx="240">
                    <c:v>1.0859443940033501E-2</c:v>
                  </c:pt>
                  <c:pt idx="241">
                    <c:v>8.0383961106445054E-3</c:v>
                  </c:pt>
                  <c:pt idx="242">
                    <c:v>1.4879915179845561E-2</c:v>
                  </c:pt>
                  <c:pt idx="243">
                    <c:v>1.842754707235621E-2</c:v>
                  </c:pt>
                  <c:pt idx="244">
                    <c:v>1.258393900823975E-2</c:v>
                  </c:pt>
                  <c:pt idx="245">
                    <c:v>5.0139398197657338E-3</c:v>
                  </c:pt>
                  <c:pt idx="246">
                    <c:v>6.3275101071999483E-3</c:v>
                  </c:pt>
                  <c:pt idx="247">
                    <c:v>1.1378822275583371E-2</c:v>
                  </c:pt>
                  <c:pt idx="248">
                    <c:v>1.023626291855686E-2</c:v>
                  </c:pt>
                  <c:pt idx="249">
                    <c:v>1.380503741031845E-2</c:v>
                  </c:pt>
                  <c:pt idx="250">
                    <c:v>2.7814237008842599E-2</c:v>
                  </c:pt>
                  <c:pt idx="251">
                    <c:v>1.673274890556356E-2</c:v>
                  </c:pt>
                  <c:pt idx="252">
                    <c:v>1.8364956486012898E-2</c:v>
                  </c:pt>
                  <c:pt idx="253">
                    <c:v>3.616756545709547E-3</c:v>
                  </c:pt>
                  <c:pt idx="254">
                    <c:v>3.5082964863473211E-3</c:v>
                  </c:pt>
                  <c:pt idx="255">
                    <c:v>2.1756858074113549E-2</c:v>
                  </c:pt>
                  <c:pt idx="256">
                    <c:v>1.313104471388063E-2</c:v>
                  </c:pt>
                  <c:pt idx="257">
                    <c:v>2.0954857652002341E-2</c:v>
                  </c:pt>
                  <c:pt idx="258">
                    <c:v>1.521925594576529E-2</c:v>
                  </c:pt>
                  <c:pt idx="259">
                    <c:v>2.804833040549526E-3</c:v>
                  </c:pt>
                  <c:pt idx="260">
                    <c:v>1.9011686932792531E-2</c:v>
                  </c:pt>
                  <c:pt idx="261">
                    <c:v>1.400625161751482E-2</c:v>
                  </c:pt>
                  <c:pt idx="262">
                    <c:v>3.2692385847942502E-3</c:v>
                  </c:pt>
                  <c:pt idx="263">
                    <c:v>1.4008520091643909E-2</c:v>
                  </c:pt>
                  <c:pt idx="264">
                    <c:v>2.8869069467000959E-2</c:v>
                  </c:pt>
                  <c:pt idx="265">
                    <c:v>3.4522846019748011E-3</c:v>
                  </c:pt>
                  <c:pt idx="266">
                    <c:v>3.8374144128932218E-2</c:v>
                  </c:pt>
                  <c:pt idx="267">
                    <c:v>3.6814286787609743E-2</c:v>
                  </c:pt>
                  <c:pt idx="268">
                    <c:v>3.1846371835477387E-2</c:v>
                  </c:pt>
                  <c:pt idx="269">
                    <c:v>9.3034962368885987E-3</c:v>
                  </c:pt>
                  <c:pt idx="270">
                    <c:v>1.42262375708025E-2</c:v>
                  </c:pt>
                  <c:pt idx="271">
                    <c:v>4.4098474870327309E-2</c:v>
                  </c:pt>
                  <c:pt idx="272">
                    <c:v>1.8611389843146049E-2</c:v>
                  </c:pt>
                  <c:pt idx="273">
                    <c:v>1.752340028688552E-2</c:v>
                  </c:pt>
                  <c:pt idx="274">
                    <c:v>3.2320943971148812E-2</c:v>
                  </c:pt>
                  <c:pt idx="275">
                    <c:v>5.1345086589084481E-3</c:v>
                  </c:pt>
                  <c:pt idx="276">
                    <c:v>6.6835276886838241E-2</c:v>
                  </c:pt>
                  <c:pt idx="277">
                    <c:v>4.3776319021094613E-2</c:v>
                  </c:pt>
                  <c:pt idx="278">
                    <c:v>3.564509227167733E-2</c:v>
                  </c:pt>
                  <c:pt idx="279">
                    <c:v>1.5037073205719309E-3</c:v>
                  </c:pt>
                </c:numCache>
              </c:numRef>
            </c:plus>
            <c:minus>
              <c:numRef>
                <c:f>'Paul dataset'!$AE$2:$AE$281</c:f>
                <c:numCache>
                  <c:formatCode>General</c:formatCode>
                  <c:ptCount val="280"/>
                  <c:pt idx="0">
                    <c:v>1.294272130234661E-2</c:v>
                  </c:pt>
                  <c:pt idx="1">
                    <c:v>0.13564968058771079</c:v>
                  </c:pt>
                  <c:pt idx="2">
                    <c:v>2.036184534790964E-3</c:v>
                  </c:pt>
                  <c:pt idx="3">
                    <c:v>2.5993188017183928E-2</c:v>
                  </c:pt>
                  <c:pt idx="4">
                    <c:v>7.9847201489404197E-3</c:v>
                  </c:pt>
                  <c:pt idx="5">
                    <c:v>8.3358417933041972E-4</c:v>
                  </c:pt>
                  <c:pt idx="6">
                    <c:v>7.450924975955997E-2</c:v>
                  </c:pt>
                  <c:pt idx="7">
                    <c:v>9.9051471933741999E-3</c:v>
                  </c:pt>
                  <c:pt idx="8">
                    <c:v>1.279854830003236E-2</c:v>
                  </c:pt>
                  <c:pt idx="9">
                    <c:v>7.6625200412675551E-2</c:v>
                  </c:pt>
                  <c:pt idx="10">
                    <c:v>2.0821699580131181E-3</c:v>
                  </c:pt>
                  <c:pt idx="11">
                    <c:v>2.6038343250464141E-2</c:v>
                  </c:pt>
                  <c:pt idx="12">
                    <c:v>4.4452682561833979E-3</c:v>
                  </c:pt>
                  <c:pt idx="13">
                    <c:v>7.2754748017715212E-3</c:v>
                  </c:pt>
                  <c:pt idx="14">
                    <c:v>7.7279653570898983E-3</c:v>
                  </c:pt>
                  <c:pt idx="15">
                    <c:v>9.8694181004846913E-3</c:v>
                  </c:pt>
                  <c:pt idx="16">
                    <c:v>8.8868664621583552E-3</c:v>
                  </c:pt>
                  <c:pt idx="17">
                    <c:v>2.356014299132036E-3</c:v>
                  </c:pt>
                  <c:pt idx="18">
                    <c:v>1.996712324977687E-3</c:v>
                  </c:pt>
                  <c:pt idx="19">
                    <c:v>8.2142811712026149E-3</c:v>
                  </c:pt>
                  <c:pt idx="20">
                    <c:v>5.8936630547841134E-3</c:v>
                  </c:pt>
                  <c:pt idx="21">
                    <c:v>1.5457630803294761E-2</c:v>
                  </c:pt>
                  <c:pt idx="22">
                    <c:v>1.545054726564961E-2</c:v>
                  </c:pt>
                  <c:pt idx="23">
                    <c:v>0.1095793548520949</c:v>
                  </c:pt>
                  <c:pt idx="24">
                    <c:v>1.5412690854560329E-3</c:v>
                  </c:pt>
                  <c:pt idx="25">
                    <c:v>8.3843310799998863E-2</c:v>
                  </c:pt>
                  <c:pt idx="26">
                    <c:v>9.9003637157663894E-3</c:v>
                  </c:pt>
                  <c:pt idx="27">
                    <c:v>1.6483084154857709E-2</c:v>
                  </c:pt>
                  <c:pt idx="28">
                    <c:v>1.0982166216606699E-2</c:v>
                  </c:pt>
                  <c:pt idx="29">
                    <c:v>2.6390732279320581E-2</c:v>
                  </c:pt>
                  <c:pt idx="30">
                    <c:v>1.4773616102523609E-2</c:v>
                  </c:pt>
                  <c:pt idx="31">
                    <c:v>4.8683894411408824E-3</c:v>
                  </c:pt>
                  <c:pt idx="32">
                    <c:v>2.527678793962157E-2</c:v>
                  </c:pt>
                  <c:pt idx="33">
                    <c:v>8.5253542053357802E-3</c:v>
                  </c:pt>
                  <c:pt idx="34">
                    <c:v>4.4276436015314749E-4</c:v>
                  </c:pt>
                  <c:pt idx="35">
                    <c:v>2.217291393649267E-3</c:v>
                  </c:pt>
                  <c:pt idx="36">
                    <c:v>1.30730254302091E-2</c:v>
                  </c:pt>
                  <c:pt idx="37">
                    <c:v>1.025669759223596E-2</c:v>
                  </c:pt>
                  <c:pt idx="38">
                    <c:v>5.0689870632973427E-3</c:v>
                  </c:pt>
                  <c:pt idx="39">
                    <c:v>7.9816260917613055E-2</c:v>
                  </c:pt>
                  <c:pt idx="40">
                    <c:v>1.0012592683189109E-3</c:v>
                  </c:pt>
                  <c:pt idx="41">
                    <c:v>5.5996708174201491E-3</c:v>
                  </c:pt>
                  <c:pt idx="42">
                    <c:v>2.7564668502500549E-2</c:v>
                  </c:pt>
                  <c:pt idx="43">
                    <c:v>3.5037783085195069E-2</c:v>
                  </c:pt>
                  <c:pt idx="44">
                    <c:v>1.3959576260723741E-2</c:v>
                  </c:pt>
                  <c:pt idx="45">
                    <c:v>2.1071891910074959E-2</c:v>
                  </c:pt>
                  <c:pt idx="46">
                    <c:v>7.200705410837587E-3</c:v>
                  </c:pt>
                  <c:pt idx="47">
                    <c:v>3.675476643343879E-3</c:v>
                  </c:pt>
                  <c:pt idx="48">
                    <c:v>2.4140816560313309E-2</c:v>
                  </c:pt>
                  <c:pt idx="49">
                    <c:v>1.239287752952432E-2</c:v>
                  </c:pt>
                  <c:pt idx="50">
                    <c:v>1.6749806865949901E-2</c:v>
                  </c:pt>
                  <c:pt idx="51">
                    <c:v>7.4351753328947808E-3</c:v>
                  </c:pt>
                  <c:pt idx="52">
                    <c:v>5.6348969423995711E-3</c:v>
                  </c:pt>
                  <c:pt idx="53">
                    <c:v>1.7024806801462612E-2</c:v>
                  </c:pt>
                  <c:pt idx="54">
                    <c:v>1.4426317800383099E-2</c:v>
                  </c:pt>
                  <c:pt idx="55">
                    <c:v>7.9230982780971338E-3</c:v>
                  </c:pt>
                  <c:pt idx="56">
                    <c:v>4.8842084080157992E-3</c:v>
                  </c:pt>
                  <c:pt idx="57">
                    <c:v>4.5110369876273987E-3</c:v>
                  </c:pt>
                  <c:pt idx="58">
                    <c:v>4.6622578129600313E-3</c:v>
                  </c:pt>
                  <c:pt idx="59">
                    <c:v>5.7174241468143519E-3</c:v>
                  </c:pt>
                  <c:pt idx="60">
                    <c:v>1.268026751280985E-2</c:v>
                  </c:pt>
                  <c:pt idx="61">
                    <c:v>2.2807897106579222E-2</c:v>
                  </c:pt>
                  <c:pt idx="62">
                    <c:v>6.6612852950861407E-3</c:v>
                  </c:pt>
                  <c:pt idx="63">
                    <c:v>4.6090906849450084E-3</c:v>
                  </c:pt>
                  <c:pt idx="64">
                    <c:v>0.13465811620461449</c:v>
                  </c:pt>
                  <c:pt idx="65">
                    <c:v>3.428724596226021E-2</c:v>
                  </c:pt>
                  <c:pt idx="66">
                    <c:v>1.082459485920721E-2</c:v>
                  </c:pt>
                  <c:pt idx="67">
                    <c:v>1.0309744026150799E-2</c:v>
                  </c:pt>
                  <c:pt idx="68">
                    <c:v>1.8647182097790319E-2</c:v>
                  </c:pt>
                  <c:pt idx="69">
                    <c:v>2.2908287225334941E-2</c:v>
                  </c:pt>
                  <c:pt idx="70">
                    <c:v>3.9700339843523362E-3</c:v>
                  </c:pt>
                  <c:pt idx="71">
                    <c:v>8.8015052671100522E-3</c:v>
                  </c:pt>
                  <c:pt idx="72">
                    <c:v>5.8426504836833206E-4</c:v>
                  </c:pt>
                  <c:pt idx="73">
                    <c:v>3.4768403087800251E-3</c:v>
                  </c:pt>
                  <c:pt idx="74">
                    <c:v>7.6645624894044516E-3</c:v>
                  </c:pt>
                  <c:pt idx="75">
                    <c:v>1.0539073370809121E-2</c:v>
                  </c:pt>
                  <c:pt idx="76">
                    <c:v>1.253065730196808E-3</c:v>
                  </c:pt>
                  <c:pt idx="77">
                    <c:v>7.9876469566824305E-3</c:v>
                  </c:pt>
                  <c:pt idx="78">
                    <c:v>1.3037028380568001E-3</c:v>
                  </c:pt>
                  <c:pt idx="79">
                    <c:v>2.5050274942234299E-3</c:v>
                  </c:pt>
                  <c:pt idx="80">
                    <c:v>5.4131337241158546E-3</c:v>
                  </c:pt>
                  <c:pt idx="81">
                    <c:v>1.0548028526300379E-2</c:v>
                  </c:pt>
                  <c:pt idx="82">
                    <c:v>8.3570130085490121E-3</c:v>
                  </c:pt>
                  <c:pt idx="83">
                    <c:v>1.0867550787295991E-2</c:v>
                  </c:pt>
                  <c:pt idx="84">
                    <c:v>6.1023433734117916E-3</c:v>
                  </c:pt>
                  <c:pt idx="85">
                    <c:v>1.0594244265274321E-3</c:v>
                  </c:pt>
                  <c:pt idx="86">
                    <c:v>1.861205107463319E-2</c:v>
                  </c:pt>
                  <c:pt idx="87">
                    <c:v>5.8191112966586144E-3</c:v>
                  </c:pt>
                  <c:pt idx="88">
                    <c:v>1.7191590218186718E-2</c:v>
                  </c:pt>
                  <c:pt idx="89">
                    <c:v>9.7612671309064123E-4</c:v>
                  </c:pt>
                  <c:pt idx="90">
                    <c:v>7.9913216928039314E-3</c:v>
                  </c:pt>
                  <c:pt idx="91">
                    <c:v>3.889109908174722E-3</c:v>
                  </c:pt>
                  <c:pt idx="92">
                    <c:v>7.5839128856669486E-3</c:v>
                  </c:pt>
                  <c:pt idx="93">
                    <c:v>1.2617656079738819E-3</c:v>
                  </c:pt>
                  <c:pt idx="94">
                    <c:v>1.14185235790685E-3</c:v>
                  </c:pt>
                  <c:pt idx="95">
                    <c:v>6.5188749716355073E-3</c:v>
                  </c:pt>
                  <c:pt idx="96">
                    <c:v>2.2318452511214939E-3</c:v>
                  </c:pt>
                  <c:pt idx="97">
                    <c:v>2.008972535661974E-2</c:v>
                  </c:pt>
                  <c:pt idx="98">
                    <c:v>3.1432604308156459E-3</c:v>
                  </c:pt>
                  <c:pt idx="99">
                    <c:v>2.0999593922924061E-2</c:v>
                  </c:pt>
                  <c:pt idx="100">
                    <c:v>4.8603070810243933E-3</c:v>
                  </c:pt>
                  <c:pt idx="101">
                    <c:v>2.1054633707947778E-3</c:v>
                  </c:pt>
                  <c:pt idx="102">
                    <c:v>7.7382065490691748E-3</c:v>
                  </c:pt>
                  <c:pt idx="103">
                    <c:v>4.3636082225206223E-3</c:v>
                  </c:pt>
                  <c:pt idx="104">
                    <c:v>2.997222992303717E-3</c:v>
                  </c:pt>
                  <c:pt idx="105">
                    <c:v>1.9966591062924839E-3</c:v>
                  </c:pt>
                  <c:pt idx="106">
                    <c:v>2.391403548404538E-2</c:v>
                  </c:pt>
                  <c:pt idx="107">
                    <c:v>1.5172200397242661E-3</c:v>
                  </c:pt>
                  <c:pt idx="108">
                    <c:v>1.43344168732317E-2</c:v>
                  </c:pt>
                  <c:pt idx="109">
                    <c:v>4.549722821809263E-3</c:v>
                  </c:pt>
                  <c:pt idx="110">
                    <c:v>4.9684040093986763E-3</c:v>
                  </c:pt>
                  <c:pt idx="111">
                    <c:v>4.6185748684066828E-3</c:v>
                  </c:pt>
                  <c:pt idx="112">
                    <c:v>3.5391291986445257E-2</c:v>
                  </c:pt>
                  <c:pt idx="113">
                    <c:v>5.1552723590308257E-3</c:v>
                  </c:pt>
                  <c:pt idx="114">
                    <c:v>3.8137878283688489E-2</c:v>
                  </c:pt>
                  <c:pt idx="115">
                    <c:v>2.6328187804412948E-3</c:v>
                  </c:pt>
                  <c:pt idx="116">
                    <c:v>1.8800045979499851E-2</c:v>
                  </c:pt>
                  <c:pt idx="117">
                    <c:v>5.6408252427047709E-2</c:v>
                  </c:pt>
                  <c:pt idx="118">
                    <c:v>7.5193766450612504E-3</c:v>
                  </c:pt>
                  <c:pt idx="119">
                    <c:v>1.9891376971380541E-2</c:v>
                  </c:pt>
                  <c:pt idx="120">
                    <c:v>3.478291588400436E-2</c:v>
                  </c:pt>
                  <c:pt idx="121">
                    <c:v>5.7141767520572082E-2</c:v>
                  </c:pt>
                  <c:pt idx="122">
                    <c:v>3.1540557466290318E-3</c:v>
                  </c:pt>
                  <c:pt idx="123">
                    <c:v>3.2886241146487961E-3</c:v>
                  </c:pt>
                  <c:pt idx="124">
                    <c:v>2.7955393491889912E-3</c:v>
                  </c:pt>
                  <c:pt idx="125">
                    <c:v>1.434613613419675E-2</c:v>
                  </c:pt>
                  <c:pt idx="126">
                    <c:v>4.7617102736222383E-3</c:v>
                  </c:pt>
                  <c:pt idx="127">
                    <c:v>1.00292724225162E-2</c:v>
                  </c:pt>
                  <c:pt idx="128">
                    <c:v>1.0959715520701369E-2</c:v>
                  </c:pt>
                  <c:pt idx="129">
                    <c:v>5.201109430586915E-2</c:v>
                  </c:pt>
                  <c:pt idx="130">
                    <c:v>1.596238906689508E-2</c:v>
                  </c:pt>
                  <c:pt idx="131">
                    <c:v>5.4052229013784444E-3</c:v>
                  </c:pt>
                  <c:pt idx="132">
                    <c:v>2.9600093819201059E-2</c:v>
                  </c:pt>
                  <c:pt idx="133">
                    <c:v>3.0703944482479682E-2</c:v>
                  </c:pt>
                  <c:pt idx="134">
                    <c:v>4.2843730899831567E-2</c:v>
                  </c:pt>
                  <c:pt idx="135">
                    <c:v>2.195615167210585E-2</c:v>
                  </c:pt>
                  <c:pt idx="136">
                    <c:v>1.2068605580688729E-2</c:v>
                  </c:pt>
                  <c:pt idx="137">
                    <c:v>6.8565330153830539E-2</c:v>
                  </c:pt>
                  <c:pt idx="138">
                    <c:v>1.9711639632541501E-2</c:v>
                  </c:pt>
                  <c:pt idx="139">
                    <c:v>1.5042595441486161E-2</c:v>
                  </c:pt>
                  <c:pt idx="140">
                    <c:v>2.280717791957405E-2</c:v>
                  </c:pt>
                  <c:pt idx="141">
                    <c:v>6.3001400870721355E-2</c:v>
                  </c:pt>
                  <c:pt idx="142">
                    <c:v>1.784092842334572E-3</c:v>
                  </c:pt>
                  <c:pt idx="143">
                    <c:v>2.341325267664297E-2</c:v>
                  </c:pt>
                  <c:pt idx="144">
                    <c:v>3.6606054444857259E-3</c:v>
                  </c:pt>
                  <c:pt idx="145">
                    <c:v>6.9406696631654288E-3</c:v>
                  </c:pt>
                  <c:pt idx="146">
                    <c:v>2.0826000064980432E-2</c:v>
                  </c:pt>
                  <c:pt idx="147">
                    <c:v>4.7540289840916371E-2</c:v>
                  </c:pt>
                  <c:pt idx="148">
                    <c:v>1.9356047120482351E-2</c:v>
                  </c:pt>
                  <c:pt idx="149">
                    <c:v>5.4006589267368198E-2</c:v>
                  </c:pt>
                  <c:pt idx="150">
                    <c:v>1.027008251534612E-2</c:v>
                  </c:pt>
                  <c:pt idx="151">
                    <c:v>3.0725218456701429E-2</c:v>
                  </c:pt>
                  <c:pt idx="152">
                    <c:v>2.5577205187964681E-2</c:v>
                  </c:pt>
                  <c:pt idx="153">
                    <c:v>9.4266062615136134E-3</c:v>
                  </c:pt>
                  <c:pt idx="154">
                    <c:v>1.0900394773784121E-2</c:v>
                  </c:pt>
                  <c:pt idx="155">
                    <c:v>1.983623309944647E-2</c:v>
                  </c:pt>
                  <c:pt idx="156">
                    <c:v>3.1474640979271183E-2</c:v>
                  </c:pt>
                  <c:pt idx="157">
                    <c:v>1.3868866505368701E-2</c:v>
                  </c:pt>
                  <c:pt idx="158">
                    <c:v>1.179357393996594E-2</c:v>
                  </c:pt>
                  <c:pt idx="159">
                    <c:v>1.71285786245855E-3</c:v>
                  </c:pt>
                  <c:pt idx="160">
                    <c:v>2.174052856136708E-2</c:v>
                  </c:pt>
                  <c:pt idx="161">
                    <c:v>2.6975937400583992E-2</c:v>
                  </c:pt>
                  <c:pt idx="162">
                    <c:v>1.818278693797035E-2</c:v>
                  </c:pt>
                  <c:pt idx="163">
                    <c:v>2.900922766400655E-2</c:v>
                  </c:pt>
                  <c:pt idx="164">
                    <c:v>5.9655336236663907E-2</c:v>
                  </c:pt>
                  <c:pt idx="165">
                    <c:v>3.9033567499420621E-2</c:v>
                  </c:pt>
                  <c:pt idx="166">
                    <c:v>1.8752373116772272E-2</c:v>
                  </c:pt>
                  <c:pt idx="167">
                    <c:v>3.5291035476340358E-3</c:v>
                  </c:pt>
                  <c:pt idx="168">
                    <c:v>1.5687190190832478E-2</c:v>
                  </c:pt>
                  <c:pt idx="169">
                    <c:v>2.6721786500665749E-2</c:v>
                  </c:pt>
                  <c:pt idx="170">
                    <c:v>6.9204995629040172E-2</c:v>
                  </c:pt>
                  <c:pt idx="171">
                    <c:v>2.280240188453261E-2</c:v>
                  </c:pt>
                  <c:pt idx="172">
                    <c:v>2.0508951219114849E-2</c:v>
                  </c:pt>
                  <c:pt idx="173">
                    <c:v>1.1784762864275629E-2</c:v>
                  </c:pt>
                  <c:pt idx="174">
                    <c:v>6.4933533378179739E-2</c:v>
                  </c:pt>
                  <c:pt idx="175">
                    <c:v>5.0650981064293638E-2</c:v>
                  </c:pt>
                  <c:pt idx="176">
                    <c:v>3.7602993437686458E-2</c:v>
                  </c:pt>
                  <c:pt idx="177">
                    <c:v>1.4214580323430081E-2</c:v>
                  </c:pt>
                  <c:pt idx="178">
                    <c:v>1.316081368376611E-2</c:v>
                  </c:pt>
                  <c:pt idx="179">
                    <c:v>4.8721130998298237E-2</c:v>
                  </c:pt>
                  <c:pt idx="180">
                    <c:v>2.9618743120795401E-2</c:v>
                  </c:pt>
                  <c:pt idx="181">
                    <c:v>2.506965035899289E-2</c:v>
                  </c:pt>
                  <c:pt idx="182">
                    <c:v>8.6300508007277257E-3</c:v>
                  </c:pt>
                  <c:pt idx="183">
                    <c:v>7.3981459001744854E-3</c:v>
                  </c:pt>
                  <c:pt idx="184">
                    <c:v>1.691342001550105E-2</c:v>
                  </c:pt>
                  <c:pt idx="185">
                    <c:v>4.8760849036629458E-3</c:v>
                  </c:pt>
                  <c:pt idx="186">
                    <c:v>2.707809085233322E-3</c:v>
                  </c:pt>
                  <c:pt idx="187">
                    <c:v>1.8042976603181979E-2</c:v>
                  </c:pt>
                  <c:pt idx="188">
                    <c:v>1.6615342661960391E-2</c:v>
                  </c:pt>
                  <c:pt idx="189">
                    <c:v>2.2264469849430469E-2</c:v>
                  </c:pt>
                  <c:pt idx="190">
                    <c:v>3.343370308282935E-2</c:v>
                  </c:pt>
                  <c:pt idx="191">
                    <c:v>2.907263379726506E-2</c:v>
                  </c:pt>
                  <c:pt idx="192">
                    <c:v>1.8177135222527719E-2</c:v>
                  </c:pt>
                  <c:pt idx="193">
                    <c:v>4.2484549615113908E-2</c:v>
                  </c:pt>
                  <c:pt idx="194">
                    <c:v>1.17811873430172E-2</c:v>
                  </c:pt>
                  <c:pt idx="195">
                    <c:v>1.131025301858081E-2</c:v>
                  </c:pt>
                  <c:pt idx="196">
                    <c:v>4.2781325898821332E-2</c:v>
                  </c:pt>
                  <c:pt idx="197">
                    <c:v>4.5211924668851697E-3</c:v>
                  </c:pt>
                  <c:pt idx="198">
                    <c:v>9.5605703641822148E-3</c:v>
                  </c:pt>
                  <c:pt idx="199">
                    <c:v>9.1988579553878291E-3</c:v>
                  </c:pt>
                  <c:pt idx="200">
                    <c:v>1.587349930252108E-2</c:v>
                  </c:pt>
                  <c:pt idx="201">
                    <c:v>2.525022903617799E-2</c:v>
                  </c:pt>
                  <c:pt idx="202">
                    <c:v>2.3663241993457249E-2</c:v>
                  </c:pt>
                  <c:pt idx="203">
                    <c:v>2.3134473714520931E-2</c:v>
                  </c:pt>
                  <c:pt idx="204">
                    <c:v>1.506848913820889E-2</c:v>
                  </c:pt>
                  <c:pt idx="205">
                    <c:v>1.143159412873271E-2</c:v>
                  </c:pt>
                  <c:pt idx="206">
                    <c:v>1.9001075258906871E-2</c:v>
                  </c:pt>
                  <c:pt idx="207">
                    <c:v>6.9017806248203042E-2</c:v>
                  </c:pt>
                  <c:pt idx="208">
                    <c:v>4.7298935409920383E-2</c:v>
                  </c:pt>
                  <c:pt idx="209">
                    <c:v>5.7828349013787042E-2</c:v>
                  </c:pt>
                  <c:pt idx="210">
                    <c:v>8.6987900905289503E-3</c:v>
                  </c:pt>
                  <c:pt idx="211">
                    <c:v>3.0496499881497049E-2</c:v>
                  </c:pt>
                  <c:pt idx="212">
                    <c:v>2.4473382732565632E-2</c:v>
                  </c:pt>
                  <c:pt idx="213">
                    <c:v>1.0064982028219789E-2</c:v>
                  </c:pt>
                  <c:pt idx="214">
                    <c:v>4.8001454944511879E-3</c:v>
                  </c:pt>
                  <c:pt idx="215">
                    <c:v>1.332244245154578E-2</c:v>
                  </c:pt>
                  <c:pt idx="216">
                    <c:v>1.1695610224717899E-2</c:v>
                  </c:pt>
                  <c:pt idx="217">
                    <c:v>4.74797710305657E-2</c:v>
                  </c:pt>
                  <c:pt idx="218">
                    <c:v>1.113608703623724E-2</c:v>
                  </c:pt>
                  <c:pt idx="219">
                    <c:v>1.69596309473302E-2</c:v>
                  </c:pt>
                  <c:pt idx="220">
                    <c:v>2.2845418260648349E-2</c:v>
                  </c:pt>
                  <c:pt idx="221">
                    <c:v>1.5464271200114829E-2</c:v>
                  </c:pt>
                  <c:pt idx="222">
                    <c:v>1.7885523533009779E-2</c:v>
                  </c:pt>
                  <c:pt idx="223">
                    <c:v>9.6892921738277182E-3</c:v>
                  </c:pt>
                  <c:pt idx="224">
                    <c:v>1.2647578465889301E-2</c:v>
                  </c:pt>
                  <c:pt idx="225">
                    <c:v>5.0158482010055343E-2</c:v>
                  </c:pt>
                  <c:pt idx="226">
                    <c:v>7.9809867064142472E-3</c:v>
                  </c:pt>
                  <c:pt idx="227">
                    <c:v>8.3627670827392201E-3</c:v>
                  </c:pt>
                  <c:pt idx="228">
                    <c:v>4.1372348498160526E-3</c:v>
                  </c:pt>
                  <c:pt idx="229">
                    <c:v>9.804417129259918E-3</c:v>
                  </c:pt>
                  <c:pt idx="230">
                    <c:v>5.7041708547224436E-3</c:v>
                  </c:pt>
                  <c:pt idx="231">
                    <c:v>1.0547354311653699E-2</c:v>
                  </c:pt>
                  <c:pt idx="232">
                    <c:v>8.0344778856528097E-3</c:v>
                  </c:pt>
                  <c:pt idx="233">
                    <c:v>1.1206178661602941E-3</c:v>
                  </c:pt>
                  <c:pt idx="234">
                    <c:v>7.2485518527023287E-3</c:v>
                  </c:pt>
                  <c:pt idx="235">
                    <c:v>1.110437647602935E-2</c:v>
                  </c:pt>
                  <c:pt idx="236">
                    <c:v>1.973387115321289E-2</c:v>
                  </c:pt>
                  <c:pt idx="237">
                    <c:v>8.627212189699144E-3</c:v>
                  </c:pt>
                  <c:pt idx="238">
                    <c:v>3.475350910985729E-3</c:v>
                  </c:pt>
                  <c:pt idx="239">
                    <c:v>1.2000120284374071E-2</c:v>
                  </c:pt>
                  <c:pt idx="240">
                    <c:v>1.0859443940033501E-2</c:v>
                  </c:pt>
                  <c:pt idx="241">
                    <c:v>8.0383961106445054E-3</c:v>
                  </c:pt>
                  <c:pt idx="242">
                    <c:v>1.4879915179845561E-2</c:v>
                  </c:pt>
                  <c:pt idx="243">
                    <c:v>1.842754707235621E-2</c:v>
                  </c:pt>
                  <c:pt idx="244">
                    <c:v>1.258393900823975E-2</c:v>
                  </c:pt>
                  <c:pt idx="245">
                    <c:v>5.0139398197657338E-3</c:v>
                  </c:pt>
                  <c:pt idx="246">
                    <c:v>6.3275101071999483E-3</c:v>
                  </c:pt>
                  <c:pt idx="247">
                    <c:v>1.1378822275583371E-2</c:v>
                  </c:pt>
                  <c:pt idx="248">
                    <c:v>1.023626291855686E-2</c:v>
                  </c:pt>
                  <c:pt idx="249">
                    <c:v>1.380503741031845E-2</c:v>
                  </c:pt>
                  <c:pt idx="250">
                    <c:v>2.7814237008842599E-2</c:v>
                  </c:pt>
                  <c:pt idx="251">
                    <c:v>1.673274890556356E-2</c:v>
                  </c:pt>
                  <c:pt idx="252">
                    <c:v>1.8364956486012898E-2</c:v>
                  </c:pt>
                  <c:pt idx="253">
                    <c:v>3.616756545709547E-3</c:v>
                  </c:pt>
                  <c:pt idx="254">
                    <c:v>3.5082964863473211E-3</c:v>
                  </c:pt>
                  <c:pt idx="255">
                    <c:v>2.1756858074113549E-2</c:v>
                  </c:pt>
                  <c:pt idx="256">
                    <c:v>1.313104471388063E-2</c:v>
                  </c:pt>
                  <c:pt idx="257">
                    <c:v>2.0954857652002341E-2</c:v>
                  </c:pt>
                  <c:pt idx="258">
                    <c:v>1.521925594576529E-2</c:v>
                  </c:pt>
                  <c:pt idx="259">
                    <c:v>2.804833040549526E-3</c:v>
                  </c:pt>
                  <c:pt idx="260">
                    <c:v>1.9011686932792531E-2</c:v>
                  </c:pt>
                  <c:pt idx="261">
                    <c:v>1.400625161751482E-2</c:v>
                  </c:pt>
                  <c:pt idx="262">
                    <c:v>3.2692385847942502E-3</c:v>
                  </c:pt>
                  <c:pt idx="263">
                    <c:v>1.4008520091643909E-2</c:v>
                  </c:pt>
                  <c:pt idx="264">
                    <c:v>2.8869069467000959E-2</c:v>
                  </c:pt>
                  <c:pt idx="265">
                    <c:v>3.4522846019748011E-3</c:v>
                  </c:pt>
                  <c:pt idx="266">
                    <c:v>3.8374144128932218E-2</c:v>
                  </c:pt>
                  <c:pt idx="267">
                    <c:v>3.6814286787609743E-2</c:v>
                  </c:pt>
                  <c:pt idx="268">
                    <c:v>3.1846371835477387E-2</c:v>
                  </c:pt>
                  <c:pt idx="269">
                    <c:v>9.3034962368885987E-3</c:v>
                  </c:pt>
                  <c:pt idx="270">
                    <c:v>1.42262375708025E-2</c:v>
                  </c:pt>
                  <c:pt idx="271">
                    <c:v>4.4098474870327309E-2</c:v>
                  </c:pt>
                  <c:pt idx="272">
                    <c:v>1.8611389843146049E-2</c:v>
                  </c:pt>
                  <c:pt idx="273">
                    <c:v>1.752340028688552E-2</c:v>
                  </c:pt>
                  <c:pt idx="274">
                    <c:v>3.2320943971148812E-2</c:v>
                  </c:pt>
                  <c:pt idx="275">
                    <c:v>5.1345086589084481E-3</c:v>
                  </c:pt>
                  <c:pt idx="276">
                    <c:v>6.6835276886838241E-2</c:v>
                  </c:pt>
                  <c:pt idx="277">
                    <c:v>4.3776319021094613E-2</c:v>
                  </c:pt>
                  <c:pt idx="278">
                    <c:v>3.564509227167733E-2</c:v>
                  </c:pt>
                  <c:pt idx="279">
                    <c:v>1.5037073205719309E-3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'Paul dataset'!$AD$2:$AD$281</c:f>
              <c:numCache>
                <c:formatCode>General</c:formatCode>
                <c:ptCount val="280"/>
                <c:pt idx="0">
                  <c:v>0.48833074579750868</c:v>
                </c:pt>
                <c:pt idx="1">
                  <c:v>1.046107859519753</c:v>
                </c:pt>
                <c:pt idx="2">
                  <c:v>0.50426770864142212</c:v>
                </c:pt>
                <c:pt idx="3">
                  <c:v>0.51014969327298154</c:v>
                </c:pt>
                <c:pt idx="4">
                  <c:v>0.61398404002864582</c:v>
                </c:pt>
                <c:pt idx="5">
                  <c:v>0.70099104932274758</c:v>
                </c:pt>
                <c:pt idx="6">
                  <c:v>0.8090858421189342</c:v>
                </c:pt>
                <c:pt idx="7">
                  <c:v>0.99257634240671322</c:v>
                </c:pt>
                <c:pt idx="8">
                  <c:v>0.66220015113446673</c:v>
                </c:pt>
                <c:pt idx="9">
                  <c:v>0.61553955184225317</c:v>
                </c:pt>
                <c:pt idx="10">
                  <c:v>0.64984438748385964</c:v>
                </c:pt>
                <c:pt idx="11">
                  <c:v>0.78046175667533335</c:v>
                </c:pt>
                <c:pt idx="12">
                  <c:v>0.56668748806397828</c:v>
                </c:pt>
                <c:pt idx="13">
                  <c:v>0.61833377633816888</c:v>
                </c:pt>
                <c:pt idx="14">
                  <c:v>0.69283823321435922</c:v>
                </c:pt>
                <c:pt idx="15">
                  <c:v>0.71449591853721695</c:v>
                </c:pt>
                <c:pt idx="16">
                  <c:v>0.81047235421136421</c:v>
                </c:pt>
                <c:pt idx="17">
                  <c:v>0.77539254520150536</c:v>
                </c:pt>
                <c:pt idx="18">
                  <c:v>0.89535173110766131</c:v>
                </c:pt>
                <c:pt idx="19">
                  <c:v>0.71727603293879927</c:v>
                </c:pt>
                <c:pt idx="20">
                  <c:v>0.79114492981941831</c:v>
                </c:pt>
                <c:pt idx="21">
                  <c:v>0.79328377247140092</c:v>
                </c:pt>
                <c:pt idx="22">
                  <c:v>0.73468166680242442</c:v>
                </c:pt>
                <c:pt idx="23">
                  <c:v>0.82911231565100518</c:v>
                </c:pt>
                <c:pt idx="24">
                  <c:v>0.67482654845865475</c:v>
                </c:pt>
                <c:pt idx="25">
                  <c:v>0.71249366801890412</c:v>
                </c:pt>
                <c:pt idx="26">
                  <c:v>0.51112711556377022</c:v>
                </c:pt>
                <c:pt idx="27">
                  <c:v>0.75422542448834473</c:v>
                </c:pt>
                <c:pt idx="28">
                  <c:v>0.69907952709136456</c:v>
                </c:pt>
                <c:pt idx="29">
                  <c:v>0.71728224953341591</c:v>
                </c:pt>
                <c:pt idx="30">
                  <c:v>0.59592276002590816</c:v>
                </c:pt>
                <c:pt idx="31">
                  <c:v>0.67468208153569986</c:v>
                </c:pt>
                <c:pt idx="32">
                  <c:v>0.69869659079569546</c:v>
                </c:pt>
                <c:pt idx="33">
                  <c:v>0.79235793636783725</c:v>
                </c:pt>
                <c:pt idx="34">
                  <c:v>0.52113947351589796</c:v>
                </c:pt>
                <c:pt idx="35">
                  <c:v>0.55643477779731154</c:v>
                </c:pt>
                <c:pt idx="36">
                  <c:v>0.58615225102100565</c:v>
                </c:pt>
                <c:pt idx="37">
                  <c:v>0.78318014552348014</c:v>
                </c:pt>
                <c:pt idx="38">
                  <c:v>0.65773305768043011</c:v>
                </c:pt>
                <c:pt idx="39">
                  <c:v>0.68204956172893105</c:v>
                </c:pt>
                <c:pt idx="40">
                  <c:v>0.54152652413788871</c:v>
                </c:pt>
                <c:pt idx="41">
                  <c:v>0.73787608397164428</c:v>
                </c:pt>
                <c:pt idx="42">
                  <c:v>0.69444711374250845</c:v>
                </c:pt>
                <c:pt idx="43">
                  <c:v>0.60710787104284336</c:v>
                </c:pt>
                <c:pt idx="44">
                  <c:v>0.66700465336745207</c:v>
                </c:pt>
                <c:pt idx="45">
                  <c:v>0.8006123698830433</c:v>
                </c:pt>
                <c:pt idx="46">
                  <c:v>0.60893044652887773</c:v>
                </c:pt>
                <c:pt idx="47">
                  <c:v>0.56876603187932173</c:v>
                </c:pt>
                <c:pt idx="48">
                  <c:v>0.6492149582239517</c:v>
                </c:pt>
                <c:pt idx="49">
                  <c:v>0.82241875028571443</c:v>
                </c:pt>
                <c:pt idx="50">
                  <c:v>0.70517928972271748</c:v>
                </c:pt>
                <c:pt idx="51">
                  <c:v>0.67634146914821469</c:v>
                </c:pt>
                <c:pt idx="52">
                  <c:v>0.67033160280138182</c:v>
                </c:pt>
                <c:pt idx="53">
                  <c:v>0.67856991381526321</c:v>
                </c:pt>
                <c:pt idx="54">
                  <c:v>0.55019158348179265</c:v>
                </c:pt>
                <c:pt idx="55">
                  <c:v>0.61675277301718301</c:v>
                </c:pt>
                <c:pt idx="56">
                  <c:v>0.6026146588475112</c:v>
                </c:pt>
                <c:pt idx="57">
                  <c:v>0.55740778332360708</c:v>
                </c:pt>
                <c:pt idx="58">
                  <c:v>0.51851755897715401</c:v>
                </c:pt>
                <c:pt idx="59">
                  <c:v>0.47803306489143249</c:v>
                </c:pt>
                <c:pt idx="60">
                  <c:v>0.51120440056753791</c:v>
                </c:pt>
                <c:pt idx="61">
                  <c:v>0.60589474464084003</c:v>
                </c:pt>
                <c:pt idx="62">
                  <c:v>0.5069275588793426</c:v>
                </c:pt>
                <c:pt idx="63">
                  <c:v>0.51752629030030484</c:v>
                </c:pt>
                <c:pt idx="64">
                  <c:v>0.99335714738065184</c:v>
                </c:pt>
                <c:pt idx="65">
                  <c:v>0.62170323192955712</c:v>
                </c:pt>
                <c:pt idx="66">
                  <c:v>0.53130280669175689</c:v>
                </c:pt>
                <c:pt idx="67">
                  <c:v>0.66887750517098477</c:v>
                </c:pt>
                <c:pt idx="68">
                  <c:v>0.70982063701817666</c:v>
                </c:pt>
                <c:pt idx="69">
                  <c:v>0.48747824394714961</c:v>
                </c:pt>
                <c:pt idx="70">
                  <c:v>0.46263831419904311</c:v>
                </c:pt>
                <c:pt idx="71">
                  <c:v>0.45098501895393572</c:v>
                </c:pt>
                <c:pt idx="72">
                  <c:v>0.55008564679703764</c:v>
                </c:pt>
                <c:pt idx="73">
                  <c:v>0.57416374668103443</c:v>
                </c:pt>
                <c:pt idx="74">
                  <c:v>0.52537446318020464</c:v>
                </c:pt>
                <c:pt idx="75">
                  <c:v>0.59062697927855434</c:v>
                </c:pt>
                <c:pt idx="76">
                  <c:v>0.62629408615185944</c:v>
                </c:pt>
                <c:pt idx="77">
                  <c:v>0.54674039321791479</c:v>
                </c:pt>
                <c:pt idx="78">
                  <c:v>0.46615780343952212</c:v>
                </c:pt>
                <c:pt idx="79">
                  <c:v>0.42823239539703578</c:v>
                </c:pt>
                <c:pt idx="80">
                  <c:v>0.85443366393834763</c:v>
                </c:pt>
                <c:pt idx="81">
                  <c:v>0.52304775436448891</c:v>
                </c:pt>
                <c:pt idx="82">
                  <c:v>0.76652893619289453</c:v>
                </c:pt>
                <c:pt idx="83">
                  <c:v>0.41804663709628709</c:v>
                </c:pt>
                <c:pt idx="84">
                  <c:v>0.89931199347118118</c:v>
                </c:pt>
                <c:pt idx="85">
                  <c:v>0.37226498676703168</c:v>
                </c:pt>
                <c:pt idx="86">
                  <c:v>0.38479944699847007</c:v>
                </c:pt>
                <c:pt idx="87">
                  <c:v>0.37601430176682649</c:v>
                </c:pt>
                <c:pt idx="88">
                  <c:v>0.54957423978481468</c:v>
                </c:pt>
                <c:pt idx="89">
                  <c:v>0.44627380764766428</c:v>
                </c:pt>
                <c:pt idx="90">
                  <c:v>0.50884043407504731</c:v>
                </c:pt>
                <c:pt idx="91">
                  <c:v>0.66229907886707051</c:v>
                </c:pt>
                <c:pt idx="92">
                  <c:v>0.84308337506646214</c:v>
                </c:pt>
                <c:pt idx="93">
                  <c:v>0.74140889376172603</c:v>
                </c:pt>
                <c:pt idx="94">
                  <c:v>0.36443633151377608</c:v>
                </c:pt>
                <c:pt idx="95">
                  <c:v>0.4652064586147398</c:v>
                </c:pt>
                <c:pt idx="96">
                  <c:v>0.37780105002636688</c:v>
                </c:pt>
                <c:pt idx="97">
                  <c:v>0.51879691353610347</c:v>
                </c:pt>
                <c:pt idx="98">
                  <c:v>0.38737666805601612</c:v>
                </c:pt>
                <c:pt idx="99">
                  <c:v>0.50219311314351334</c:v>
                </c:pt>
                <c:pt idx="100">
                  <c:v>0.37477967269433088</c:v>
                </c:pt>
                <c:pt idx="101">
                  <c:v>0.41077396951857359</c:v>
                </c:pt>
                <c:pt idx="102">
                  <c:v>0.59412662643901271</c:v>
                </c:pt>
                <c:pt idx="103">
                  <c:v>0.5754304709039082</c:v>
                </c:pt>
                <c:pt idx="104">
                  <c:v>0.65646211861144355</c:v>
                </c:pt>
                <c:pt idx="105">
                  <c:v>0.65768316972727414</c:v>
                </c:pt>
                <c:pt idx="106">
                  <c:v>0.79560005800998912</c:v>
                </c:pt>
                <c:pt idx="107">
                  <c:v>0.49797023230172022</c:v>
                </c:pt>
                <c:pt idx="108">
                  <c:v>0.66047464906016184</c:v>
                </c:pt>
                <c:pt idx="109">
                  <c:v>0.47544196233058977</c:v>
                </c:pt>
                <c:pt idx="110">
                  <c:v>0.42051762537220322</c:v>
                </c:pt>
                <c:pt idx="111">
                  <c:v>0.47634224502734213</c:v>
                </c:pt>
                <c:pt idx="112">
                  <c:v>0.54169092262751373</c:v>
                </c:pt>
                <c:pt idx="113">
                  <c:v>0.56709068040631649</c:v>
                </c:pt>
                <c:pt idx="114">
                  <c:v>0.52796488938131625</c:v>
                </c:pt>
                <c:pt idx="115">
                  <c:v>0.43041988497058781</c:v>
                </c:pt>
                <c:pt idx="116">
                  <c:v>0.46823952256539558</c:v>
                </c:pt>
                <c:pt idx="117">
                  <c:v>0.47794791261416208</c:v>
                </c:pt>
                <c:pt idx="118">
                  <c:v>0.49290239797995372</c:v>
                </c:pt>
                <c:pt idx="119">
                  <c:v>0.69596990353526222</c:v>
                </c:pt>
                <c:pt idx="120">
                  <c:v>0.39488524227189042</c:v>
                </c:pt>
                <c:pt idx="121">
                  <c:v>0.47787272865420638</c:v>
                </c:pt>
                <c:pt idx="122">
                  <c:v>0.42889313111913352</c:v>
                </c:pt>
                <c:pt idx="123">
                  <c:v>0.52302924778985693</c:v>
                </c:pt>
                <c:pt idx="124">
                  <c:v>0.57667143084760197</c:v>
                </c:pt>
                <c:pt idx="125">
                  <c:v>0.42899180896383587</c:v>
                </c:pt>
                <c:pt idx="126">
                  <c:v>0.44601601213380843</c:v>
                </c:pt>
                <c:pt idx="127">
                  <c:v>0.37553846609882519</c:v>
                </c:pt>
                <c:pt idx="128">
                  <c:v>0.59985820636935139</c:v>
                </c:pt>
                <c:pt idx="129">
                  <c:v>0.53848705119736462</c:v>
                </c:pt>
                <c:pt idx="130">
                  <c:v>0.63273350202314915</c:v>
                </c:pt>
                <c:pt idx="131">
                  <c:v>0.75080428815478173</c:v>
                </c:pt>
                <c:pt idx="132">
                  <c:v>0.64428759110124734</c:v>
                </c:pt>
                <c:pt idx="133">
                  <c:v>0.58678303441002366</c:v>
                </c:pt>
                <c:pt idx="134">
                  <c:v>0.50431290507504811</c:v>
                </c:pt>
                <c:pt idx="135">
                  <c:v>0.70395331046938281</c:v>
                </c:pt>
                <c:pt idx="136">
                  <c:v>0.63260583408146709</c:v>
                </c:pt>
                <c:pt idx="137">
                  <c:v>0.71244685290575671</c:v>
                </c:pt>
                <c:pt idx="138">
                  <c:v>0.61516241216400336</c:v>
                </c:pt>
                <c:pt idx="139">
                  <c:v>0.62418955267529463</c:v>
                </c:pt>
                <c:pt idx="140">
                  <c:v>0.45608775540731228</c:v>
                </c:pt>
                <c:pt idx="141">
                  <c:v>0.50523394851192993</c:v>
                </c:pt>
                <c:pt idx="142">
                  <c:v>0.52156112741798444</c:v>
                </c:pt>
                <c:pt idx="143">
                  <c:v>0.45858395315965289</c:v>
                </c:pt>
                <c:pt idx="144">
                  <c:v>0.49386515953610299</c:v>
                </c:pt>
                <c:pt idx="145">
                  <c:v>0.45286894161986169</c:v>
                </c:pt>
                <c:pt idx="146">
                  <c:v>0.55974094223797299</c:v>
                </c:pt>
                <c:pt idx="147">
                  <c:v>0.47451338209236887</c:v>
                </c:pt>
                <c:pt idx="148">
                  <c:v>0.41648088222923768</c:v>
                </c:pt>
                <c:pt idx="149">
                  <c:v>0.49444661565086462</c:v>
                </c:pt>
                <c:pt idx="150">
                  <c:v>0.42128492299181097</c:v>
                </c:pt>
                <c:pt idx="151">
                  <c:v>0.73352299591924186</c:v>
                </c:pt>
                <c:pt idx="152">
                  <c:v>0.43274234568308723</c:v>
                </c:pt>
                <c:pt idx="153">
                  <c:v>0.52041210263887039</c:v>
                </c:pt>
                <c:pt idx="154">
                  <c:v>0.41579192278361621</c:v>
                </c:pt>
                <c:pt idx="155">
                  <c:v>0.28623510114465262</c:v>
                </c:pt>
                <c:pt idx="156">
                  <c:v>0.71845778722101694</c:v>
                </c:pt>
                <c:pt idx="157">
                  <c:v>0.3182625590165406</c:v>
                </c:pt>
                <c:pt idx="158">
                  <c:v>0.28667841177805509</c:v>
                </c:pt>
                <c:pt idx="159">
                  <c:v>0.33209263258878541</c:v>
                </c:pt>
                <c:pt idx="160">
                  <c:v>0.35756349943901322</c:v>
                </c:pt>
                <c:pt idx="161">
                  <c:v>0.35896258014389981</c:v>
                </c:pt>
                <c:pt idx="162">
                  <c:v>0.61304801318772928</c:v>
                </c:pt>
                <c:pt idx="163">
                  <c:v>0.55931980404332848</c:v>
                </c:pt>
                <c:pt idx="164">
                  <c:v>0.81113217303733587</c:v>
                </c:pt>
                <c:pt idx="165">
                  <c:v>0.2669533307775741</c:v>
                </c:pt>
                <c:pt idx="166">
                  <c:v>0.30462350202400651</c:v>
                </c:pt>
                <c:pt idx="167">
                  <c:v>0.41735142396681052</c:v>
                </c:pt>
                <c:pt idx="168">
                  <c:v>0.48625530067683181</c:v>
                </c:pt>
                <c:pt idx="169">
                  <c:v>0.44458277238685501</c:v>
                </c:pt>
                <c:pt idx="170">
                  <c:v>0.5847029182148149</c:v>
                </c:pt>
                <c:pt idx="171">
                  <c:v>0.5214642864421315</c:v>
                </c:pt>
                <c:pt idx="172">
                  <c:v>0.6403201313967436</c:v>
                </c:pt>
                <c:pt idx="173">
                  <c:v>0.45161486470560402</c:v>
                </c:pt>
                <c:pt idx="174">
                  <c:v>0.52338010167428928</c:v>
                </c:pt>
                <c:pt idx="175">
                  <c:v>0.41315513305651169</c:v>
                </c:pt>
                <c:pt idx="176">
                  <c:v>0.47763184616490229</c:v>
                </c:pt>
                <c:pt idx="177">
                  <c:v>0.41561333628925362</c:v>
                </c:pt>
                <c:pt idx="178">
                  <c:v>0.37140610036303467</c:v>
                </c:pt>
                <c:pt idx="179">
                  <c:v>0.40220348197744799</c:v>
                </c:pt>
                <c:pt idx="180">
                  <c:v>0.64828211242714795</c:v>
                </c:pt>
                <c:pt idx="181">
                  <c:v>0.43057727480991331</c:v>
                </c:pt>
                <c:pt idx="182">
                  <c:v>0.34591205719919682</c:v>
                </c:pt>
                <c:pt idx="183">
                  <c:v>0.35982308376841737</c:v>
                </c:pt>
                <c:pt idx="184">
                  <c:v>0.39241641573316199</c:v>
                </c:pt>
                <c:pt idx="185">
                  <c:v>0.41630903279471032</c:v>
                </c:pt>
                <c:pt idx="186">
                  <c:v>0.35633569288741951</c:v>
                </c:pt>
                <c:pt idx="187">
                  <c:v>0.59783363606312978</c:v>
                </c:pt>
                <c:pt idx="188">
                  <c:v>0.78305831835210871</c:v>
                </c:pt>
                <c:pt idx="189">
                  <c:v>0.23525418601533199</c:v>
                </c:pt>
                <c:pt idx="190">
                  <c:v>0.27328695204299069</c:v>
                </c:pt>
                <c:pt idx="191">
                  <c:v>0.50301302213882371</c:v>
                </c:pt>
                <c:pt idx="192">
                  <c:v>0.25789135087492671</c:v>
                </c:pt>
                <c:pt idx="193">
                  <c:v>0.34776982326478878</c:v>
                </c:pt>
                <c:pt idx="194">
                  <c:v>0.19672122896831251</c:v>
                </c:pt>
                <c:pt idx="195">
                  <c:v>0.37378318030312008</c:v>
                </c:pt>
                <c:pt idx="196">
                  <c:v>0.75803102728940353</c:v>
                </c:pt>
                <c:pt idx="197">
                  <c:v>0.57530763378722638</c:v>
                </c:pt>
                <c:pt idx="198">
                  <c:v>0.68064016841336938</c:v>
                </c:pt>
                <c:pt idx="199">
                  <c:v>0.44821658489176108</c:v>
                </c:pt>
                <c:pt idx="200">
                  <c:v>0.44306396493933892</c:v>
                </c:pt>
                <c:pt idx="201">
                  <c:v>0.47420913164235229</c:v>
                </c:pt>
                <c:pt idx="202">
                  <c:v>0.51862750017427373</c:v>
                </c:pt>
                <c:pt idx="203">
                  <c:v>0.47526373998676202</c:v>
                </c:pt>
                <c:pt idx="204">
                  <c:v>0.63780329791790891</c:v>
                </c:pt>
                <c:pt idx="205">
                  <c:v>0.59505584426712832</c:v>
                </c:pt>
                <c:pt idx="206">
                  <c:v>0.63528158908340926</c:v>
                </c:pt>
                <c:pt idx="207">
                  <c:v>0.58677019562368338</c:v>
                </c:pt>
                <c:pt idx="208">
                  <c:v>0.36551123272317793</c:v>
                </c:pt>
                <c:pt idx="209">
                  <c:v>0.43973677259687582</c:v>
                </c:pt>
                <c:pt idx="210">
                  <c:v>0.48816324580052972</c:v>
                </c:pt>
                <c:pt idx="211">
                  <c:v>0.44685229297709211</c:v>
                </c:pt>
                <c:pt idx="212">
                  <c:v>0.40618778947019463</c:v>
                </c:pt>
                <c:pt idx="213">
                  <c:v>0.33050519273884932</c:v>
                </c:pt>
                <c:pt idx="214">
                  <c:v>0.50224020371841638</c:v>
                </c:pt>
                <c:pt idx="215">
                  <c:v>0.30658490851062598</c:v>
                </c:pt>
                <c:pt idx="216">
                  <c:v>0.36502321751922279</c:v>
                </c:pt>
                <c:pt idx="217">
                  <c:v>0.50955763247133812</c:v>
                </c:pt>
                <c:pt idx="218">
                  <c:v>0.48164578642127798</c:v>
                </c:pt>
                <c:pt idx="219">
                  <c:v>0.37695151139042921</c:v>
                </c:pt>
                <c:pt idx="220">
                  <c:v>0.55480186261004749</c:v>
                </c:pt>
                <c:pt idx="221">
                  <c:v>0.37299087639744272</c:v>
                </c:pt>
                <c:pt idx="222">
                  <c:v>0.16134567490005369</c:v>
                </c:pt>
                <c:pt idx="223">
                  <c:v>0.51609880928158169</c:v>
                </c:pt>
                <c:pt idx="224">
                  <c:v>0.52443782631879821</c:v>
                </c:pt>
                <c:pt idx="225">
                  <c:v>0.58560751448712522</c:v>
                </c:pt>
                <c:pt idx="226">
                  <c:v>0.46548953757131678</c:v>
                </c:pt>
                <c:pt idx="227">
                  <c:v>0.60038047094926505</c:v>
                </c:pt>
                <c:pt idx="228">
                  <c:v>0.1707845273051608</c:v>
                </c:pt>
                <c:pt idx="229">
                  <c:v>0.60263422497734676</c:v>
                </c:pt>
                <c:pt idx="230">
                  <c:v>0.56664250739446853</c:v>
                </c:pt>
                <c:pt idx="231">
                  <c:v>0.5542982037059212</c:v>
                </c:pt>
                <c:pt idx="232">
                  <c:v>0.47688878290500009</c:v>
                </c:pt>
                <c:pt idx="233">
                  <c:v>0.30035088832481011</c:v>
                </c:pt>
                <c:pt idx="234">
                  <c:v>0.36984629833047228</c:v>
                </c:pt>
                <c:pt idx="235">
                  <c:v>0.54343500890418295</c:v>
                </c:pt>
                <c:pt idx="236">
                  <c:v>0.51617338544320057</c:v>
                </c:pt>
                <c:pt idx="237">
                  <c:v>0.46638163584106163</c:v>
                </c:pt>
                <c:pt idx="238">
                  <c:v>0.13529376045531091</c:v>
                </c:pt>
                <c:pt idx="239">
                  <c:v>0.44369822448293289</c:v>
                </c:pt>
                <c:pt idx="240">
                  <c:v>0.3103873979250672</c:v>
                </c:pt>
                <c:pt idx="241">
                  <c:v>0.36725700444894321</c:v>
                </c:pt>
                <c:pt idx="242">
                  <c:v>0.15566755708845659</c:v>
                </c:pt>
                <c:pt idx="243">
                  <c:v>0.39481252147366219</c:v>
                </c:pt>
                <c:pt idx="244">
                  <c:v>0.47977594970724841</c:v>
                </c:pt>
                <c:pt idx="245">
                  <c:v>0.4655157805641138</c:v>
                </c:pt>
                <c:pt idx="246">
                  <c:v>0.57846570163285538</c:v>
                </c:pt>
                <c:pt idx="247">
                  <c:v>0.55852320953099566</c:v>
                </c:pt>
                <c:pt idx="248">
                  <c:v>0.81330836884138269</c:v>
                </c:pt>
                <c:pt idx="249">
                  <c:v>0.17180131922216341</c:v>
                </c:pt>
                <c:pt idx="250">
                  <c:v>0.69145664497104142</c:v>
                </c:pt>
                <c:pt idx="251">
                  <c:v>0.76205001072318856</c:v>
                </c:pt>
                <c:pt idx="252">
                  <c:v>0.71226230429648552</c:v>
                </c:pt>
                <c:pt idx="253">
                  <c:v>0.19622108314961689</c:v>
                </c:pt>
                <c:pt idx="254">
                  <c:v>0.41984825177542912</c:v>
                </c:pt>
                <c:pt idx="255">
                  <c:v>0.40266273861100338</c:v>
                </c:pt>
                <c:pt idx="256">
                  <c:v>0.20786819242448551</c:v>
                </c:pt>
                <c:pt idx="257">
                  <c:v>0.42919323539179388</c:v>
                </c:pt>
                <c:pt idx="258">
                  <c:v>0.49347407392068898</c:v>
                </c:pt>
                <c:pt idx="259">
                  <c:v>0.62686091912652586</c:v>
                </c:pt>
                <c:pt idx="260">
                  <c:v>0.65714837569503282</c:v>
                </c:pt>
                <c:pt idx="261">
                  <c:v>0.1670206821999288</c:v>
                </c:pt>
                <c:pt idx="262">
                  <c:v>0.74740788428599125</c:v>
                </c:pt>
                <c:pt idx="263">
                  <c:v>0.67527920298395439</c:v>
                </c:pt>
                <c:pt idx="264">
                  <c:v>0.58709926990594508</c:v>
                </c:pt>
                <c:pt idx="265">
                  <c:v>0.16440567203609069</c:v>
                </c:pt>
                <c:pt idx="266">
                  <c:v>0.34776726625166787</c:v>
                </c:pt>
                <c:pt idx="267">
                  <c:v>0.34231517561598018</c:v>
                </c:pt>
                <c:pt idx="268">
                  <c:v>0.52889411249703611</c:v>
                </c:pt>
                <c:pt idx="269">
                  <c:v>0.78223662920016324</c:v>
                </c:pt>
                <c:pt idx="270">
                  <c:v>0.27311003195332723</c:v>
                </c:pt>
                <c:pt idx="271">
                  <c:v>0.63415557421889723</c:v>
                </c:pt>
                <c:pt idx="272">
                  <c:v>0.62437432797528725</c:v>
                </c:pt>
                <c:pt idx="273">
                  <c:v>0.24079649550767129</c:v>
                </c:pt>
                <c:pt idx="274">
                  <c:v>0.48956498819966932</c:v>
                </c:pt>
                <c:pt idx="275">
                  <c:v>8.4458622385350957E-2</c:v>
                </c:pt>
                <c:pt idx="276">
                  <c:v>0.64234369335159602</c:v>
                </c:pt>
                <c:pt idx="277">
                  <c:v>0.70204597811353231</c:v>
                </c:pt>
                <c:pt idx="278">
                  <c:v>0.44535841238372359</c:v>
                </c:pt>
                <c:pt idx="279">
                  <c:v>7.4563506311372332E-2</c:v>
                </c:pt>
              </c:numCache>
            </c:numRef>
          </c:xVal>
          <c:yVal>
            <c:numRef>
              <c:f>'Paul dataset'!$AM$2:$AM$281</c:f>
              <c:numCache>
                <c:formatCode>General</c:formatCode>
                <c:ptCount val="280"/>
                <c:pt idx="0">
                  <c:v>0.49609218239784197</c:v>
                </c:pt>
                <c:pt idx="1">
                  <c:v>0.87069559097289995</c:v>
                </c:pt>
                <c:pt idx="2">
                  <c:v>0.48484460115432698</c:v>
                </c:pt>
                <c:pt idx="3">
                  <c:v>0.52156606912612902</c:v>
                </c:pt>
                <c:pt idx="4">
                  <c:v>0.64916617870330795</c:v>
                </c:pt>
                <c:pt idx="5">
                  <c:v>0.64436365365981996</c:v>
                </c:pt>
                <c:pt idx="6">
                  <c:v>0.78244998455047599</c:v>
                </c:pt>
                <c:pt idx="7">
                  <c:v>0.92272368669509797</c:v>
                </c:pt>
                <c:pt idx="8">
                  <c:v>0.58509911298751804</c:v>
                </c:pt>
                <c:pt idx="9">
                  <c:v>0.54139478206634495</c:v>
                </c:pt>
                <c:pt idx="10">
                  <c:v>0.60787556171417201</c:v>
                </c:pt>
                <c:pt idx="11">
                  <c:v>0.80098130702972403</c:v>
                </c:pt>
                <c:pt idx="12">
                  <c:v>0.52848205566406203</c:v>
                </c:pt>
                <c:pt idx="13">
                  <c:v>0.57920839786529499</c:v>
                </c:pt>
                <c:pt idx="14">
                  <c:v>0.71147158145904499</c:v>
                </c:pt>
                <c:pt idx="15">
                  <c:v>0.69711579084396302</c:v>
                </c:pt>
                <c:pt idx="16">
                  <c:v>0.778963923454284</c:v>
                </c:pt>
                <c:pt idx="17">
                  <c:v>0.80402915477752601</c:v>
                </c:pt>
                <c:pt idx="18">
                  <c:v>0.84969168901443404</c:v>
                </c:pt>
                <c:pt idx="19">
                  <c:v>0.69957287311553895</c:v>
                </c:pt>
                <c:pt idx="20">
                  <c:v>0.82078682184219298</c:v>
                </c:pt>
                <c:pt idx="21">
                  <c:v>0.82129701375961295</c:v>
                </c:pt>
                <c:pt idx="22">
                  <c:v>0.79303370714187604</c:v>
                </c:pt>
                <c:pt idx="23">
                  <c:v>0.71883296966552701</c:v>
                </c:pt>
                <c:pt idx="24">
                  <c:v>0.62054142951965297</c:v>
                </c:pt>
                <c:pt idx="25">
                  <c:v>0.67092908620834302</c:v>
                </c:pt>
                <c:pt idx="26">
                  <c:v>0.60126922130584703</c:v>
                </c:pt>
                <c:pt idx="27">
                  <c:v>0.74600479602813696</c:v>
                </c:pt>
                <c:pt idx="28">
                  <c:v>0.68934712409973098</c:v>
                </c:pt>
                <c:pt idx="29">
                  <c:v>0.69231077432632404</c:v>
                </c:pt>
                <c:pt idx="30">
                  <c:v>0.64100049734115605</c:v>
                </c:pt>
                <c:pt idx="31">
                  <c:v>0.64254432916641202</c:v>
                </c:pt>
                <c:pt idx="32">
                  <c:v>0.67190080881118697</c:v>
                </c:pt>
                <c:pt idx="33">
                  <c:v>0.76001312732696502</c:v>
                </c:pt>
                <c:pt idx="34">
                  <c:v>0.458194386959075</c:v>
                </c:pt>
                <c:pt idx="35">
                  <c:v>0.63599029779434202</c:v>
                </c:pt>
                <c:pt idx="36">
                  <c:v>0.60762751102447499</c:v>
                </c:pt>
                <c:pt idx="37">
                  <c:v>0.74042202234268095</c:v>
                </c:pt>
                <c:pt idx="38">
                  <c:v>0.65343682765960698</c:v>
                </c:pt>
                <c:pt idx="39">
                  <c:v>0.70418221950531001</c:v>
                </c:pt>
                <c:pt idx="40">
                  <c:v>0.59105240106582602</c:v>
                </c:pt>
                <c:pt idx="41">
                  <c:v>0.75717880725860598</c:v>
                </c:pt>
                <c:pt idx="42">
                  <c:v>0.79981848001480105</c:v>
                </c:pt>
                <c:pt idx="43">
                  <c:v>0.70195550918579097</c:v>
                </c:pt>
                <c:pt idx="44">
                  <c:v>0.77103773355483995</c:v>
                </c:pt>
                <c:pt idx="45">
                  <c:v>0.73086574077606203</c:v>
                </c:pt>
                <c:pt idx="46">
                  <c:v>0.62156561613082795</c:v>
                </c:pt>
                <c:pt idx="47">
                  <c:v>0.63158963918685895</c:v>
                </c:pt>
                <c:pt idx="48">
                  <c:v>0.77180628776550297</c:v>
                </c:pt>
                <c:pt idx="49">
                  <c:v>0.80214594602584799</c:v>
                </c:pt>
                <c:pt idx="50">
                  <c:v>0.72125893831252996</c:v>
                </c:pt>
                <c:pt idx="51">
                  <c:v>0.79445370435714702</c:v>
                </c:pt>
                <c:pt idx="52">
                  <c:v>0.754614913463592</c:v>
                </c:pt>
                <c:pt idx="53">
                  <c:v>0.741340684890747</c:v>
                </c:pt>
                <c:pt idx="54">
                  <c:v>0.57883590459823597</c:v>
                </c:pt>
                <c:pt idx="55">
                  <c:v>0.62228364944458003</c:v>
                </c:pt>
                <c:pt idx="56">
                  <c:v>0.58637504577636701</c:v>
                </c:pt>
                <c:pt idx="57">
                  <c:v>0.53075411319732602</c:v>
                </c:pt>
                <c:pt idx="58">
                  <c:v>0.55535993576049802</c:v>
                </c:pt>
                <c:pt idx="59">
                  <c:v>0.53626742362975999</c:v>
                </c:pt>
                <c:pt idx="60">
                  <c:v>0.65818288326263397</c:v>
                </c:pt>
                <c:pt idx="61">
                  <c:v>0.54468901157379102</c:v>
                </c:pt>
                <c:pt idx="62">
                  <c:v>0.61459523439407304</c:v>
                </c:pt>
                <c:pt idx="63">
                  <c:v>0.62409795522689804</c:v>
                </c:pt>
                <c:pt idx="64">
                  <c:v>0.67698177099227896</c:v>
                </c:pt>
                <c:pt idx="65">
                  <c:v>0.609195911884307</c:v>
                </c:pt>
                <c:pt idx="66">
                  <c:v>0.56466437578201201</c:v>
                </c:pt>
                <c:pt idx="67">
                  <c:v>0.69826406240463201</c:v>
                </c:pt>
                <c:pt idx="68">
                  <c:v>0.62653353214263896</c:v>
                </c:pt>
                <c:pt idx="69">
                  <c:v>0.51384105682373005</c:v>
                </c:pt>
                <c:pt idx="70">
                  <c:v>0.50024741888046198</c:v>
                </c:pt>
                <c:pt idx="71">
                  <c:v>0.50677140355110095</c:v>
                </c:pt>
                <c:pt idx="72">
                  <c:v>0.52150511741638095</c:v>
                </c:pt>
                <c:pt idx="73">
                  <c:v>0.52203049659728995</c:v>
                </c:pt>
                <c:pt idx="74">
                  <c:v>0.51212240457534697</c:v>
                </c:pt>
                <c:pt idx="75">
                  <c:v>0.58600771427154497</c:v>
                </c:pt>
                <c:pt idx="76">
                  <c:v>0.642726385593414</c:v>
                </c:pt>
                <c:pt idx="77">
                  <c:v>0.51202537417411798</c:v>
                </c:pt>
                <c:pt idx="78">
                  <c:v>0.46367865204811098</c:v>
                </c:pt>
                <c:pt idx="79">
                  <c:v>0.39877647757530199</c:v>
                </c:pt>
                <c:pt idx="80">
                  <c:v>0.80108894109725903</c:v>
                </c:pt>
                <c:pt idx="81">
                  <c:v>0.56099456548690796</c:v>
                </c:pt>
                <c:pt idx="82">
                  <c:v>0.74127893447875903</c:v>
                </c:pt>
                <c:pt idx="83">
                  <c:v>0.38138081431388798</c:v>
                </c:pt>
                <c:pt idx="84">
                  <c:v>0.78506841659545901</c:v>
                </c:pt>
                <c:pt idx="85">
                  <c:v>0.406892299652099</c:v>
                </c:pt>
                <c:pt idx="86">
                  <c:v>0.400612258911132</c:v>
                </c:pt>
                <c:pt idx="87">
                  <c:v>0.43506226539611798</c:v>
                </c:pt>
                <c:pt idx="88">
                  <c:v>0.46907590031623803</c:v>
                </c:pt>
                <c:pt idx="89">
                  <c:v>0.49083428978919902</c:v>
                </c:pt>
                <c:pt idx="90">
                  <c:v>0.476668488979339</c:v>
                </c:pt>
                <c:pt idx="91">
                  <c:v>0.68839795589446995</c:v>
                </c:pt>
                <c:pt idx="92">
                  <c:v>0.64379825592040996</c:v>
                </c:pt>
                <c:pt idx="93">
                  <c:v>0.85709807872772203</c:v>
                </c:pt>
                <c:pt idx="94">
                  <c:v>0.33915510177612301</c:v>
                </c:pt>
                <c:pt idx="95">
                  <c:v>0.416307127475738</c:v>
                </c:pt>
                <c:pt idx="96">
                  <c:v>0.445600134134292</c:v>
                </c:pt>
                <c:pt idx="97">
                  <c:v>0.46029316186904901</c:v>
                </c:pt>
                <c:pt idx="98">
                  <c:v>0.45524126291275002</c:v>
                </c:pt>
                <c:pt idx="99">
                  <c:v>0.59771651029586703</c:v>
                </c:pt>
                <c:pt idx="100">
                  <c:v>0.50202077627181996</c:v>
                </c:pt>
                <c:pt idx="101">
                  <c:v>0.49274724125862102</c:v>
                </c:pt>
                <c:pt idx="102">
                  <c:v>0.62969955205917305</c:v>
                </c:pt>
                <c:pt idx="103">
                  <c:v>0.59391419887542696</c:v>
                </c:pt>
                <c:pt idx="104">
                  <c:v>0.688472056388855</c:v>
                </c:pt>
                <c:pt idx="105">
                  <c:v>0.67112717628479002</c:v>
                </c:pt>
                <c:pt idx="106">
                  <c:v>0.73513102531433105</c:v>
                </c:pt>
                <c:pt idx="107">
                  <c:v>0.53053199052810596</c:v>
                </c:pt>
                <c:pt idx="108">
                  <c:v>0.72426292896270705</c:v>
                </c:pt>
                <c:pt idx="109">
                  <c:v>0.44447496533393799</c:v>
                </c:pt>
                <c:pt idx="110">
                  <c:v>0.50150421857833805</c:v>
                </c:pt>
                <c:pt idx="111">
                  <c:v>0.55700131654739304</c:v>
                </c:pt>
                <c:pt idx="112">
                  <c:v>0.469559752941131</c:v>
                </c:pt>
                <c:pt idx="113">
                  <c:v>0.60912771224975504</c:v>
                </c:pt>
                <c:pt idx="114">
                  <c:v>0.531288373470306</c:v>
                </c:pt>
                <c:pt idx="115">
                  <c:v>0.441064375638961</c:v>
                </c:pt>
                <c:pt idx="116">
                  <c:v>0.48746244311332698</c:v>
                </c:pt>
                <c:pt idx="117">
                  <c:v>0.52257579565048196</c:v>
                </c:pt>
                <c:pt idx="118">
                  <c:v>0.51572294235229399</c:v>
                </c:pt>
                <c:pt idx="119">
                  <c:v>0.67058703899383498</c:v>
                </c:pt>
                <c:pt idx="120">
                  <c:v>0.40573722720146099</c:v>
                </c:pt>
                <c:pt idx="121">
                  <c:v>0.43683707118034298</c:v>
                </c:pt>
                <c:pt idx="122">
                  <c:v>0.43904688954353299</c:v>
                </c:pt>
                <c:pt idx="123">
                  <c:v>0.54289966821670499</c:v>
                </c:pt>
                <c:pt idx="124">
                  <c:v>0.59286745786666795</c:v>
                </c:pt>
                <c:pt idx="125">
                  <c:v>0.46496312022209102</c:v>
                </c:pt>
                <c:pt idx="126">
                  <c:v>0.510599040985107</c:v>
                </c:pt>
                <c:pt idx="127">
                  <c:v>0.41200263500213602</c:v>
                </c:pt>
                <c:pt idx="128">
                  <c:v>0.78021174669265703</c:v>
                </c:pt>
                <c:pt idx="129">
                  <c:v>0.55638397932052597</c:v>
                </c:pt>
                <c:pt idx="130">
                  <c:v>0.67462701797485303</c:v>
                </c:pt>
                <c:pt idx="131">
                  <c:v>0.71007580757141098</c:v>
                </c:pt>
                <c:pt idx="132">
                  <c:v>0.57070811986923198</c:v>
                </c:pt>
                <c:pt idx="133">
                  <c:v>0.46179656386375401</c:v>
                </c:pt>
                <c:pt idx="134">
                  <c:v>0.54766777753829898</c:v>
                </c:pt>
                <c:pt idx="135">
                  <c:v>0.67182540893554599</c:v>
                </c:pt>
                <c:pt idx="136">
                  <c:v>0.62166117429733203</c:v>
                </c:pt>
                <c:pt idx="137">
                  <c:v>0.69243910312652501</c:v>
                </c:pt>
                <c:pt idx="138">
                  <c:v>0.660659575462341</c:v>
                </c:pt>
                <c:pt idx="139">
                  <c:v>0.64010337591171196</c:v>
                </c:pt>
                <c:pt idx="140">
                  <c:v>0.4622163772583</c:v>
                </c:pt>
                <c:pt idx="141">
                  <c:v>0.45499551296234098</c:v>
                </c:pt>
                <c:pt idx="142">
                  <c:v>0.48681341409683199</c:v>
                </c:pt>
                <c:pt idx="143">
                  <c:v>0.471116787195205</c:v>
                </c:pt>
                <c:pt idx="144">
                  <c:v>0.40826944112777702</c:v>
                </c:pt>
                <c:pt idx="145">
                  <c:v>0.34621593952178897</c:v>
                </c:pt>
                <c:pt idx="146">
                  <c:v>0.45072877407073902</c:v>
                </c:pt>
                <c:pt idx="147">
                  <c:v>0.432098966836929</c:v>
                </c:pt>
                <c:pt idx="148">
                  <c:v>0.38048727512359598</c:v>
                </c:pt>
                <c:pt idx="149">
                  <c:v>0.49634382128715498</c:v>
                </c:pt>
                <c:pt idx="150">
                  <c:v>0.59348394870758003</c:v>
                </c:pt>
                <c:pt idx="151">
                  <c:v>0.51069050431251495</c:v>
                </c:pt>
                <c:pt idx="152">
                  <c:v>0.45639522671699501</c:v>
                </c:pt>
                <c:pt idx="153">
                  <c:v>0.51171287894248896</c:v>
                </c:pt>
                <c:pt idx="154">
                  <c:v>0.49330438971519402</c:v>
                </c:pt>
                <c:pt idx="155">
                  <c:v>0.31765053868293702</c:v>
                </c:pt>
                <c:pt idx="156">
                  <c:v>0.71858669519424401</c:v>
                </c:pt>
                <c:pt idx="157">
                  <c:v>0.31915434002876197</c:v>
                </c:pt>
                <c:pt idx="158">
                  <c:v>0.28182905316352802</c:v>
                </c:pt>
                <c:pt idx="159">
                  <c:v>0.29948763847351001</c:v>
                </c:pt>
                <c:pt idx="160">
                  <c:v>0.37139916419982899</c:v>
                </c:pt>
                <c:pt idx="161">
                  <c:v>0.34778709411621</c:v>
                </c:pt>
                <c:pt idx="162">
                  <c:v>0.61665409803390503</c:v>
                </c:pt>
                <c:pt idx="163">
                  <c:v>0.60847563743591304</c:v>
                </c:pt>
                <c:pt idx="164">
                  <c:v>0.74414881467819205</c:v>
                </c:pt>
                <c:pt idx="165">
                  <c:v>0.23106665313243799</c:v>
                </c:pt>
                <c:pt idx="166">
                  <c:v>0.34943229556083599</c:v>
                </c:pt>
                <c:pt idx="167">
                  <c:v>0.38692898750305099</c:v>
                </c:pt>
                <c:pt idx="168">
                  <c:v>0.48764026761054902</c:v>
                </c:pt>
                <c:pt idx="169">
                  <c:v>0.42370041608810399</c:v>
                </c:pt>
                <c:pt idx="170">
                  <c:v>0.57664526700973495</c:v>
                </c:pt>
                <c:pt idx="171">
                  <c:v>0.55559318065643304</c:v>
                </c:pt>
                <c:pt idx="172">
                  <c:v>0.61603398323059</c:v>
                </c:pt>
                <c:pt idx="173">
                  <c:v>0.42129219770431497</c:v>
                </c:pt>
                <c:pt idx="174">
                  <c:v>0.63458354473113998</c:v>
                </c:pt>
                <c:pt idx="175">
                  <c:v>0.47315198183059598</c:v>
                </c:pt>
                <c:pt idx="176">
                  <c:v>0.35715045332908602</c:v>
                </c:pt>
                <c:pt idx="177">
                  <c:v>0.44099090099334698</c:v>
                </c:pt>
                <c:pt idx="178">
                  <c:v>0.47999024987220701</c:v>
                </c:pt>
                <c:pt idx="179">
                  <c:v>0.45166206359863198</c:v>
                </c:pt>
                <c:pt idx="180">
                  <c:v>0.55755755901336601</c:v>
                </c:pt>
                <c:pt idx="181">
                  <c:v>0.46320931315421998</c:v>
                </c:pt>
                <c:pt idx="182">
                  <c:v>0.31852610707283002</c:v>
                </c:pt>
                <c:pt idx="183">
                  <c:v>0.417710083723068</c:v>
                </c:pt>
                <c:pt idx="184">
                  <c:v>0.36107163429260197</c:v>
                </c:pt>
                <c:pt idx="185">
                  <c:v>0.417962080240249</c:v>
                </c:pt>
                <c:pt idx="186">
                  <c:v>0.45557470917701698</c:v>
                </c:pt>
                <c:pt idx="187">
                  <c:v>0.63228983879089296</c:v>
                </c:pt>
                <c:pt idx="188">
                  <c:v>0.66552873849868699</c:v>
                </c:pt>
                <c:pt idx="189">
                  <c:v>0.30667829513549799</c:v>
                </c:pt>
                <c:pt idx="190">
                  <c:v>0.297826799750328</c:v>
                </c:pt>
                <c:pt idx="191">
                  <c:v>0.45812439918518</c:v>
                </c:pt>
                <c:pt idx="192">
                  <c:v>0.30365552902221599</c:v>
                </c:pt>
                <c:pt idx="193">
                  <c:v>0.37424954175949099</c:v>
                </c:pt>
                <c:pt idx="194">
                  <c:v>0.28562829494476299</c:v>
                </c:pt>
                <c:pt idx="195">
                  <c:v>0.42243549823760901</c:v>
                </c:pt>
                <c:pt idx="196">
                  <c:v>0.58475773334503101</c:v>
                </c:pt>
                <c:pt idx="197">
                  <c:v>0.57450867891311597</c:v>
                </c:pt>
                <c:pt idx="198">
                  <c:v>0.66634472608566198</c:v>
                </c:pt>
                <c:pt idx="199">
                  <c:v>0.50491170883178704</c:v>
                </c:pt>
                <c:pt idx="200">
                  <c:v>0.41744418740272499</c:v>
                </c:pt>
                <c:pt idx="201">
                  <c:v>0.44968031644821099</c:v>
                </c:pt>
                <c:pt idx="202">
                  <c:v>0.47846091985702499</c:v>
                </c:pt>
                <c:pt idx="203">
                  <c:v>0.472720056772232</c:v>
                </c:pt>
                <c:pt idx="204">
                  <c:v>0.59993047714233305</c:v>
                </c:pt>
                <c:pt idx="205">
                  <c:v>0.66136304140090896</c:v>
                </c:pt>
                <c:pt idx="206">
                  <c:v>0.66714001893997099</c:v>
                </c:pt>
                <c:pt idx="207">
                  <c:v>0.58051139116287198</c:v>
                </c:pt>
                <c:pt idx="208">
                  <c:v>0.37076565027236902</c:v>
                </c:pt>
                <c:pt idx="209">
                  <c:v>0.42292104363441402</c:v>
                </c:pt>
                <c:pt idx="210">
                  <c:v>0.48418957591056799</c:v>
                </c:pt>
                <c:pt idx="211">
                  <c:v>0.44946549534797597</c:v>
                </c:pt>
                <c:pt idx="212">
                  <c:v>0.38446494936942999</c:v>
                </c:pt>
                <c:pt idx="213">
                  <c:v>0.391960614919662</c:v>
                </c:pt>
                <c:pt idx="214">
                  <c:v>0.39365569949149998</c:v>
                </c:pt>
                <c:pt idx="215">
                  <c:v>0.40715640783309898</c:v>
                </c:pt>
                <c:pt idx="216">
                  <c:v>0.34638189077377302</c:v>
                </c:pt>
                <c:pt idx="217">
                  <c:v>0.34882603287696801</c:v>
                </c:pt>
                <c:pt idx="218">
                  <c:v>0.50571523308753896</c:v>
                </c:pt>
                <c:pt idx="219">
                  <c:v>0.40875763297080903</c:v>
                </c:pt>
                <c:pt idx="220">
                  <c:v>0.40486536026000902</c:v>
                </c:pt>
                <c:pt idx="221">
                  <c:v>0.44237300157546999</c:v>
                </c:pt>
                <c:pt idx="222">
                  <c:v>0.25688325166702197</c:v>
                </c:pt>
                <c:pt idx="223">
                  <c:v>0.51466284990310596</c:v>
                </c:pt>
                <c:pt idx="224">
                  <c:v>0.46254602074623102</c:v>
                </c:pt>
                <c:pt idx="225">
                  <c:v>0.55535434484481805</c:v>
                </c:pt>
                <c:pt idx="226">
                  <c:v>0.56638822555541901</c:v>
                </c:pt>
                <c:pt idx="227">
                  <c:v>0.63131717443466095</c:v>
                </c:pt>
                <c:pt idx="228">
                  <c:v>0.29715633690357202</c:v>
                </c:pt>
                <c:pt idx="229">
                  <c:v>0.62523682117462098</c:v>
                </c:pt>
                <c:pt idx="230">
                  <c:v>0.52517794370651205</c:v>
                </c:pt>
                <c:pt idx="231">
                  <c:v>0.54158258438110296</c:v>
                </c:pt>
                <c:pt idx="232">
                  <c:v>0.54399777650833103</c:v>
                </c:pt>
                <c:pt idx="233">
                  <c:v>0.42225330471992401</c:v>
                </c:pt>
                <c:pt idx="234">
                  <c:v>0.36724753379821701</c:v>
                </c:pt>
                <c:pt idx="235">
                  <c:v>0.49007568359374998</c:v>
                </c:pt>
                <c:pt idx="236">
                  <c:v>0.49550661444664001</c:v>
                </c:pt>
                <c:pt idx="237">
                  <c:v>0.51153683066368105</c:v>
                </c:pt>
                <c:pt idx="238">
                  <c:v>0.19203934371471401</c:v>
                </c:pt>
                <c:pt idx="239">
                  <c:v>0.51872470378875701</c:v>
                </c:pt>
                <c:pt idx="240">
                  <c:v>0.46818783879280002</c:v>
                </c:pt>
                <c:pt idx="241">
                  <c:v>0.38202698826789799</c:v>
                </c:pt>
                <c:pt idx="242">
                  <c:v>0.26774299144744801</c:v>
                </c:pt>
                <c:pt idx="243">
                  <c:v>0.402014726400375</c:v>
                </c:pt>
                <c:pt idx="244">
                  <c:v>0.47377039194107001</c:v>
                </c:pt>
                <c:pt idx="245">
                  <c:v>0.50569683909416197</c:v>
                </c:pt>
                <c:pt idx="246">
                  <c:v>0.64092686176299996</c:v>
                </c:pt>
                <c:pt idx="247">
                  <c:v>0.66547601222991903</c:v>
                </c:pt>
                <c:pt idx="248">
                  <c:v>0.66982573270797696</c:v>
                </c:pt>
                <c:pt idx="249">
                  <c:v>0.45429101586341802</c:v>
                </c:pt>
                <c:pt idx="250">
                  <c:v>0.727385377883911</c:v>
                </c:pt>
                <c:pt idx="251">
                  <c:v>0.67782075405120801</c:v>
                </c:pt>
                <c:pt idx="252">
                  <c:v>0.69048924446105897</c:v>
                </c:pt>
                <c:pt idx="253">
                  <c:v>0.51194314956664999</c:v>
                </c:pt>
                <c:pt idx="254">
                  <c:v>0.39660421013831998</c:v>
                </c:pt>
                <c:pt idx="255">
                  <c:v>0.54156795740127495</c:v>
                </c:pt>
                <c:pt idx="256">
                  <c:v>0.23138481676578501</c:v>
                </c:pt>
                <c:pt idx="257">
                  <c:v>0.49975218772888103</c:v>
                </c:pt>
                <c:pt idx="258">
                  <c:v>0.47783567309379499</c:v>
                </c:pt>
                <c:pt idx="259">
                  <c:v>0.61628888845443697</c:v>
                </c:pt>
                <c:pt idx="260">
                  <c:v>0.63298547267913796</c:v>
                </c:pt>
                <c:pt idx="261">
                  <c:v>0.320478641986846</c:v>
                </c:pt>
                <c:pt idx="262">
                  <c:v>0.63160059452056805</c:v>
                </c:pt>
                <c:pt idx="263">
                  <c:v>0.573983013629913</c:v>
                </c:pt>
                <c:pt idx="264">
                  <c:v>0.62479339838027903</c:v>
                </c:pt>
                <c:pt idx="265">
                  <c:v>0.199243146181106</c:v>
                </c:pt>
                <c:pt idx="266">
                  <c:v>4.9886569380760103E-2</c:v>
                </c:pt>
                <c:pt idx="267">
                  <c:v>0.38163610696792599</c:v>
                </c:pt>
                <c:pt idx="268">
                  <c:v>0.48824638128280601</c:v>
                </c:pt>
                <c:pt idx="269">
                  <c:v>0.62720111608505202</c:v>
                </c:pt>
                <c:pt idx="270">
                  <c:v>0.30247010588645901</c:v>
                </c:pt>
                <c:pt idx="271">
                  <c:v>0.52058638334274199</c:v>
                </c:pt>
                <c:pt idx="272">
                  <c:v>0.54914067983627302</c:v>
                </c:pt>
                <c:pt idx="273">
                  <c:v>0.379131174087524</c:v>
                </c:pt>
                <c:pt idx="274">
                  <c:v>0.55101708173751796</c:v>
                </c:pt>
                <c:pt idx="275">
                  <c:v>0.25800630152225401</c:v>
                </c:pt>
                <c:pt idx="276">
                  <c:v>0.54347034692764196</c:v>
                </c:pt>
                <c:pt idx="277">
                  <c:v>0.52980284094810404</c:v>
                </c:pt>
                <c:pt idx="278">
                  <c:v>0.52586826682090704</c:v>
                </c:pt>
                <c:pt idx="279">
                  <c:v>0.29850772917270602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B7-5B4B-BA98-C573217AA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85680"/>
        <c:axId val="94762736"/>
      </c:scatterChart>
      <c:valAx>
        <c:axId val="9538568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62736"/>
        <c:crosses val="autoZero"/>
        <c:crossBetween val="midCat"/>
        <c:majorUnit val="0.2"/>
      </c:valAx>
      <c:valAx>
        <c:axId val="9476273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85680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'Paul dataset'!$AS$1</c:f>
              <c:strCache>
                <c:ptCount val="1"/>
                <c:pt idx="0">
                  <c:v>y_cobra_scaler=1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1"/>
            <c:plus>
              <c:numRef>
                <c:f>'Paul dataset'!$AN$2:$AN$281</c:f>
                <c:numCache>
                  <c:formatCode>General</c:formatCode>
                  <c:ptCount val="280"/>
                  <c:pt idx="0">
                    <c:v>1.11945073538702E-2</c:v>
                  </c:pt>
                  <c:pt idx="1">
                    <c:v>2.1941779360668299E-2</c:v>
                  </c:pt>
                  <c:pt idx="2">
                    <c:v>1.4111722492744E-2</c:v>
                  </c:pt>
                  <c:pt idx="3">
                    <c:v>8.1359636488516299E-3</c:v>
                  </c:pt>
                  <c:pt idx="4">
                    <c:v>1.40517281827217E-2</c:v>
                  </c:pt>
                  <c:pt idx="5">
                    <c:v>3.2027979219602098E-2</c:v>
                  </c:pt>
                  <c:pt idx="6">
                    <c:v>4.4547412803859897E-2</c:v>
                  </c:pt>
                  <c:pt idx="7">
                    <c:v>5.2290402886855901E-2</c:v>
                  </c:pt>
                  <c:pt idx="8">
                    <c:v>2.2100716594274601E-2</c:v>
                  </c:pt>
                  <c:pt idx="9">
                    <c:v>2.4171692329406101E-2</c:v>
                  </c:pt>
                  <c:pt idx="10">
                    <c:v>3.1996047720770797E-2</c:v>
                  </c:pt>
                  <c:pt idx="11">
                    <c:v>3.8039425832348601E-2</c:v>
                  </c:pt>
                  <c:pt idx="12">
                    <c:v>1.23410248192164E-2</c:v>
                  </c:pt>
                  <c:pt idx="13">
                    <c:v>2.06325216617139E-2</c:v>
                  </c:pt>
                  <c:pt idx="14">
                    <c:v>1.9077718342601999E-2</c:v>
                  </c:pt>
                  <c:pt idx="15">
                    <c:v>3.54377733683948E-2</c:v>
                  </c:pt>
                  <c:pt idx="16">
                    <c:v>1.1030959145495E-2</c:v>
                  </c:pt>
                  <c:pt idx="17">
                    <c:v>1.56425638577046E-2</c:v>
                  </c:pt>
                  <c:pt idx="18">
                    <c:v>2.0908330886341E-2</c:v>
                  </c:pt>
                  <c:pt idx="19">
                    <c:v>2.4223199209940201E-2</c:v>
                  </c:pt>
                  <c:pt idx="20">
                    <c:v>4.2385788927599401E-2</c:v>
                  </c:pt>
                  <c:pt idx="21">
                    <c:v>2.4296020112585599E-2</c:v>
                  </c:pt>
                  <c:pt idx="22">
                    <c:v>1.8480014497922199E-2</c:v>
                  </c:pt>
                  <c:pt idx="23">
                    <c:v>3.4820215219911202E-2</c:v>
                  </c:pt>
                  <c:pt idx="24">
                    <c:v>1.78320443711103E-2</c:v>
                  </c:pt>
                  <c:pt idx="25">
                    <c:v>1.7053216227239699E-2</c:v>
                  </c:pt>
                  <c:pt idx="26">
                    <c:v>3.2642040608962399E-2</c:v>
                  </c:pt>
                  <c:pt idx="27">
                    <c:v>4.1096180624022698E-2</c:v>
                  </c:pt>
                  <c:pt idx="28">
                    <c:v>2.3921226322701401E-2</c:v>
                  </c:pt>
                  <c:pt idx="29">
                    <c:v>2.7736493441871301E-2</c:v>
                  </c:pt>
                  <c:pt idx="30">
                    <c:v>1.26023997421797E-2</c:v>
                  </c:pt>
                  <c:pt idx="31">
                    <c:v>2.3378499695437101E-2</c:v>
                  </c:pt>
                  <c:pt idx="32">
                    <c:v>1.7377308233438301E-2</c:v>
                  </c:pt>
                  <c:pt idx="33">
                    <c:v>1.6477192439419499E-2</c:v>
                  </c:pt>
                  <c:pt idx="34">
                    <c:v>1.35526417826088E-2</c:v>
                  </c:pt>
                  <c:pt idx="35">
                    <c:v>3.2085434994996602E-2</c:v>
                  </c:pt>
                  <c:pt idx="36">
                    <c:v>4.9079575196453701E-2</c:v>
                  </c:pt>
                  <c:pt idx="37">
                    <c:v>4.4800566311209503E-2</c:v>
                  </c:pt>
                  <c:pt idx="38">
                    <c:v>2.4560561009013701E-2</c:v>
                  </c:pt>
                  <c:pt idx="39">
                    <c:v>1.9761420925900899E-2</c:v>
                  </c:pt>
                  <c:pt idx="40">
                    <c:v>2.7605318777347301E-2</c:v>
                  </c:pt>
                  <c:pt idx="41">
                    <c:v>3.4357123085036897E-2</c:v>
                  </c:pt>
                  <c:pt idx="42">
                    <c:v>3.5471960547647202E-2</c:v>
                  </c:pt>
                  <c:pt idx="43">
                    <c:v>2.23149326552874E-2</c:v>
                  </c:pt>
                  <c:pt idx="44">
                    <c:v>4.3736807130717502E-2</c:v>
                  </c:pt>
                  <c:pt idx="45">
                    <c:v>1.93723306939096E-2</c:v>
                  </c:pt>
                  <c:pt idx="46">
                    <c:v>1.65330377537527E-2</c:v>
                  </c:pt>
                  <c:pt idx="47">
                    <c:v>3.1928508950266103E-2</c:v>
                  </c:pt>
                  <c:pt idx="48">
                    <c:v>2.7756219778666401E-2</c:v>
                  </c:pt>
                  <c:pt idx="49">
                    <c:v>2.1828993956429298E-2</c:v>
                  </c:pt>
                  <c:pt idx="50">
                    <c:v>2.65068813774775E-2</c:v>
                  </c:pt>
                  <c:pt idx="51">
                    <c:v>2.0839270803408999E-2</c:v>
                  </c:pt>
                  <c:pt idx="52">
                    <c:v>1.3724730997805299E-2</c:v>
                  </c:pt>
                  <c:pt idx="53">
                    <c:v>2.1381757226080302E-2</c:v>
                  </c:pt>
                  <c:pt idx="54">
                    <c:v>3.1826199307960802E-2</c:v>
                  </c:pt>
                  <c:pt idx="55">
                    <c:v>2.5988682969364098E-2</c:v>
                  </c:pt>
                  <c:pt idx="56">
                    <c:v>2.9361139953939401E-2</c:v>
                  </c:pt>
                  <c:pt idx="57">
                    <c:v>2.5373462708670101E-2</c:v>
                  </c:pt>
                  <c:pt idx="58">
                    <c:v>2.21928120518818E-2</c:v>
                  </c:pt>
                  <c:pt idx="59">
                    <c:v>2.6760297161719002E-2</c:v>
                  </c:pt>
                  <c:pt idx="60">
                    <c:v>3.7403171356192901E-2</c:v>
                  </c:pt>
                  <c:pt idx="61">
                    <c:v>2.6229885882391502E-2</c:v>
                  </c:pt>
                  <c:pt idx="62">
                    <c:v>1.4923753885794099E-2</c:v>
                  </c:pt>
                  <c:pt idx="63">
                    <c:v>5.95116609600767E-2</c:v>
                  </c:pt>
                  <c:pt idx="64">
                    <c:v>2.6039584659294499E-2</c:v>
                  </c:pt>
                  <c:pt idx="65">
                    <c:v>5.2408189418799503E-2</c:v>
                  </c:pt>
                  <c:pt idx="66">
                    <c:v>1.7640597574112401E-2</c:v>
                  </c:pt>
                  <c:pt idx="67">
                    <c:v>3.9058091536192399E-2</c:v>
                  </c:pt>
                  <c:pt idx="68">
                    <c:v>1.9497855216039299E-2</c:v>
                  </c:pt>
                  <c:pt idx="69">
                    <c:v>1.3080384980666101E-2</c:v>
                  </c:pt>
                  <c:pt idx="70">
                    <c:v>2.6602834210906999E-2</c:v>
                  </c:pt>
                  <c:pt idx="71">
                    <c:v>2.5071526018054801E-2</c:v>
                  </c:pt>
                  <c:pt idx="72">
                    <c:v>2.4795812273392601E-2</c:v>
                  </c:pt>
                  <c:pt idx="73">
                    <c:v>2.6511508337790798E-2</c:v>
                  </c:pt>
                  <c:pt idx="74">
                    <c:v>3.3630720316867202E-2</c:v>
                  </c:pt>
                  <c:pt idx="75">
                    <c:v>1.1159268654794E-2</c:v>
                  </c:pt>
                  <c:pt idx="76">
                    <c:v>1.86591596132611E-2</c:v>
                  </c:pt>
                  <c:pt idx="77">
                    <c:v>3.6780954932546399E-2</c:v>
                  </c:pt>
                  <c:pt idx="78">
                    <c:v>1.5523479223747499E-2</c:v>
                  </c:pt>
                  <c:pt idx="79">
                    <c:v>2.2165745569395701E-2</c:v>
                  </c:pt>
                  <c:pt idx="80">
                    <c:v>2.57286173079193E-2</c:v>
                  </c:pt>
                  <c:pt idx="81">
                    <c:v>2.0871761166892901E-2</c:v>
                  </c:pt>
                  <c:pt idx="82">
                    <c:v>3.2732692454885103E-2</c:v>
                  </c:pt>
                  <c:pt idx="83">
                    <c:v>1.7056876311994099E-2</c:v>
                  </c:pt>
                  <c:pt idx="84">
                    <c:v>2.3485416257091999E-2</c:v>
                  </c:pt>
                  <c:pt idx="85">
                    <c:v>3.4843597733167801E-2</c:v>
                  </c:pt>
                  <c:pt idx="86">
                    <c:v>2.7275665067271498E-2</c:v>
                  </c:pt>
                  <c:pt idx="87">
                    <c:v>1.88674431934087E-2</c:v>
                  </c:pt>
                  <c:pt idx="88">
                    <c:v>9.5905379478081892E-3</c:v>
                  </c:pt>
                  <c:pt idx="89">
                    <c:v>1.29327838499313E-2</c:v>
                  </c:pt>
                  <c:pt idx="90">
                    <c:v>3.3891961828573E-2</c:v>
                  </c:pt>
                  <c:pt idx="91">
                    <c:v>1.8751542754109E-2</c:v>
                  </c:pt>
                  <c:pt idx="92">
                    <c:v>1.7166559338466E-2</c:v>
                  </c:pt>
                  <c:pt idx="93">
                    <c:v>2.7845833596018599E-2</c:v>
                  </c:pt>
                  <c:pt idx="94">
                    <c:v>3.44520014122996E-2</c:v>
                  </c:pt>
                  <c:pt idx="95">
                    <c:v>2.7449508071073901E-2</c:v>
                  </c:pt>
                  <c:pt idx="96">
                    <c:v>2.2578278981890298E-2</c:v>
                  </c:pt>
                  <c:pt idx="97">
                    <c:v>4.8346194759141398E-2</c:v>
                  </c:pt>
                  <c:pt idx="98">
                    <c:v>4.09322857108083E-2</c:v>
                  </c:pt>
                  <c:pt idx="99">
                    <c:v>2.8665191530211302E-2</c:v>
                  </c:pt>
                  <c:pt idx="100">
                    <c:v>2.2657322622354901E-2</c:v>
                  </c:pt>
                  <c:pt idx="101">
                    <c:v>2.2233473739824799E-2</c:v>
                  </c:pt>
                  <c:pt idx="102">
                    <c:v>1.26558028210295E-2</c:v>
                  </c:pt>
                  <c:pt idx="103">
                    <c:v>6.8949887786414702E-3</c:v>
                  </c:pt>
                  <c:pt idx="104">
                    <c:v>1.7155222816562201E-2</c:v>
                  </c:pt>
                  <c:pt idx="105">
                    <c:v>1.6380098848133299E-2</c:v>
                  </c:pt>
                  <c:pt idx="106">
                    <c:v>2.7827884710245301E-2</c:v>
                  </c:pt>
                  <c:pt idx="107">
                    <c:v>2.49781575211564E-2</c:v>
                  </c:pt>
                  <c:pt idx="108">
                    <c:v>2.1618893432752501E-2</c:v>
                  </c:pt>
                  <c:pt idx="109">
                    <c:v>4.2866861852768702E-2</c:v>
                  </c:pt>
                  <c:pt idx="110">
                    <c:v>2.4693508430659199E-2</c:v>
                  </c:pt>
                  <c:pt idx="111">
                    <c:v>4.48280063972352E-2</c:v>
                  </c:pt>
                  <c:pt idx="112">
                    <c:v>2.7332698824006602E-2</c:v>
                  </c:pt>
                  <c:pt idx="113">
                    <c:v>4.0507369905857502E-2</c:v>
                  </c:pt>
                  <c:pt idx="114">
                    <c:v>2.5540445980439901E-2</c:v>
                  </c:pt>
                  <c:pt idx="115">
                    <c:v>3.5259543640281603E-2</c:v>
                  </c:pt>
                  <c:pt idx="116">
                    <c:v>2.9532229024759798E-2</c:v>
                  </c:pt>
                  <c:pt idx="117">
                    <c:v>8.9960388337227398E-3</c:v>
                  </c:pt>
                  <c:pt idx="118">
                    <c:v>3.0993150975992399E-2</c:v>
                  </c:pt>
                  <c:pt idx="119">
                    <c:v>2.38762002786649E-2</c:v>
                  </c:pt>
                  <c:pt idx="120">
                    <c:v>2.5366828345975999E-2</c:v>
                  </c:pt>
                  <c:pt idx="121">
                    <c:v>2.6380525454317801E-2</c:v>
                  </c:pt>
                  <c:pt idx="122">
                    <c:v>2.3269351573315201E-2</c:v>
                  </c:pt>
                  <c:pt idx="123">
                    <c:v>1.1824515372326099E-2</c:v>
                  </c:pt>
                  <c:pt idx="124">
                    <c:v>1.4438911952054699E-2</c:v>
                  </c:pt>
                  <c:pt idx="125">
                    <c:v>3.4596825931621403E-2</c:v>
                  </c:pt>
                  <c:pt idx="126">
                    <c:v>2.47763855296716E-2</c:v>
                  </c:pt>
                  <c:pt idx="127">
                    <c:v>3.00694903924821E-2</c:v>
                  </c:pt>
                  <c:pt idx="128">
                    <c:v>2.8042033362077501E-2</c:v>
                  </c:pt>
                  <c:pt idx="129">
                    <c:v>2.5166108680055199E-2</c:v>
                  </c:pt>
                  <c:pt idx="130">
                    <c:v>3.0971309874261201E-2</c:v>
                  </c:pt>
                  <c:pt idx="131">
                    <c:v>2.5091724359847901E-2</c:v>
                  </c:pt>
                  <c:pt idx="132">
                    <c:v>4.3998934574583301E-2</c:v>
                  </c:pt>
                  <c:pt idx="133">
                    <c:v>2.3679554382477201E-2</c:v>
                  </c:pt>
                  <c:pt idx="134">
                    <c:v>5.9006096550759599E-2</c:v>
                  </c:pt>
                  <c:pt idx="135">
                    <c:v>1.9830950359178999E-2</c:v>
                  </c:pt>
                  <c:pt idx="136">
                    <c:v>1.6376726284544799E-2</c:v>
                  </c:pt>
                  <c:pt idx="137">
                    <c:v>4.5758366457145698E-2</c:v>
                  </c:pt>
                  <c:pt idx="138">
                    <c:v>2.2219488444308998E-2</c:v>
                  </c:pt>
                  <c:pt idx="139">
                    <c:v>2.69803020042962E-2</c:v>
                  </c:pt>
                  <c:pt idx="140">
                    <c:v>4.17790438561359E-2</c:v>
                  </c:pt>
                  <c:pt idx="141">
                    <c:v>2.1601328586996101E-2</c:v>
                  </c:pt>
                  <c:pt idx="142">
                    <c:v>5.80456057103789E-3</c:v>
                  </c:pt>
                  <c:pt idx="143">
                    <c:v>2.4102130133085299E-2</c:v>
                  </c:pt>
                  <c:pt idx="144">
                    <c:v>3.2278060185013203E-2</c:v>
                  </c:pt>
                  <c:pt idx="145">
                    <c:v>1.48041438768848E-2</c:v>
                  </c:pt>
                  <c:pt idx="146">
                    <c:v>2.9699931193928102E-2</c:v>
                  </c:pt>
                  <c:pt idx="147">
                    <c:v>2.8427005134010801E-2</c:v>
                  </c:pt>
                  <c:pt idx="148">
                    <c:v>2.2817376048645002E-2</c:v>
                  </c:pt>
                  <c:pt idx="149">
                    <c:v>2.3984456847504401E-2</c:v>
                  </c:pt>
                  <c:pt idx="150">
                    <c:v>4.5934039496008501E-2</c:v>
                  </c:pt>
                  <c:pt idx="151">
                    <c:v>3.6350025769493199E-2</c:v>
                  </c:pt>
                  <c:pt idx="152">
                    <c:v>4.2986695861064399E-2</c:v>
                  </c:pt>
                  <c:pt idx="153">
                    <c:v>2.67538404686351E-2</c:v>
                  </c:pt>
                  <c:pt idx="154">
                    <c:v>5.2093087297532502E-2</c:v>
                  </c:pt>
                  <c:pt idx="155">
                    <c:v>1.21959898244064E-2</c:v>
                  </c:pt>
                  <c:pt idx="156">
                    <c:v>2.7346226680415201E-2</c:v>
                  </c:pt>
                  <c:pt idx="157">
                    <c:v>2.6016260811059198E-2</c:v>
                  </c:pt>
                  <c:pt idx="158">
                    <c:v>2.92435415023326E-2</c:v>
                  </c:pt>
                  <c:pt idx="159">
                    <c:v>1.4805717546129801E-2</c:v>
                  </c:pt>
                  <c:pt idx="160">
                    <c:v>1.34076898961694E-2</c:v>
                  </c:pt>
                  <c:pt idx="161">
                    <c:v>4.40058817640923E-2</c:v>
                  </c:pt>
                  <c:pt idx="162">
                    <c:v>3.3027150071178103E-2</c:v>
                  </c:pt>
                  <c:pt idx="163">
                    <c:v>2.88433577733621E-2</c:v>
                  </c:pt>
                  <c:pt idx="164">
                    <c:v>1.56707882010374E-2</c:v>
                  </c:pt>
                  <c:pt idx="165">
                    <c:v>3.5636191614041697E-2</c:v>
                  </c:pt>
                  <c:pt idx="166">
                    <c:v>1.3647524714865401E-2</c:v>
                  </c:pt>
                  <c:pt idx="167">
                    <c:v>5.04898160810709E-2</c:v>
                  </c:pt>
                  <c:pt idx="168">
                    <c:v>3.7810610330175097E-2</c:v>
                  </c:pt>
                  <c:pt idx="169">
                    <c:v>2.92675231713624E-2</c:v>
                  </c:pt>
                  <c:pt idx="170">
                    <c:v>1.8753680330961399E-2</c:v>
                  </c:pt>
                  <c:pt idx="171">
                    <c:v>2.8025672190806102E-2</c:v>
                  </c:pt>
                  <c:pt idx="172">
                    <c:v>2.5119267966686801E-2</c:v>
                  </c:pt>
                  <c:pt idx="173">
                    <c:v>3.6840226834116099E-2</c:v>
                  </c:pt>
                  <c:pt idx="174">
                    <c:v>2.1233091546511099E-2</c:v>
                  </c:pt>
                  <c:pt idx="175">
                    <c:v>2.4963857415345E-2</c:v>
                  </c:pt>
                  <c:pt idx="176">
                    <c:v>3.2917689159692697E-2</c:v>
                  </c:pt>
                  <c:pt idx="177">
                    <c:v>3.8314034826830302E-2</c:v>
                  </c:pt>
                  <c:pt idx="178">
                    <c:v>1.23535005800187E-2</c:v>
                  </c:pt>
                  <c:pt idx="179">
                    <c:v>3.4676249823397801E-2</c:v>
                  </c:pt>
                  <c:pt idx="180">
                    <c:v>9.5382630833963297E-3</c:v>
                  </c:pt>
                  <c:pt idx="181">
                    <c:v>3.9004972741019897E-2</c:v>
                  </c:pt>
                  <c:pt idx="182">
                    <c:v>3.1785012243150099E-2</c:v>
                  </c:pt>
                  <c:pt idx="183">
                    <c:v>1.8191546329683499E-2</c:v>
                  </c:pt>
                  <c:pt idx="184">
                    <c:v>1.1843626037340699E-2</c:v>
                  </c:pt>
                  <c:pt idx="185">
                    <c:v>3.0704755756737E-2</c:v>
                  </c:pt>
                  <c:pt idx="186">
                    <c:v>2.8114997783532499E-2</c:v>
                  </c:pt>
                  <c:pt idx="187">
                    <c:v>2.36834692634432E-2</c:v>
                  </c:pt>
                  <c:pt idx="188">
                    <c:v>3.2910907555598397E-2</c:v>
                  </c:pt>
                  <c:pt idx="189">
                    <c:v>3.7902473763967402E-2</c:v>
                  </c:pt>
                  <c:pt idx="190">
                    <c:v>4.60854560581829E-2</c:v>
                  </c:pt>
                  <c:pt idx="191">
                    <c:v>2.4100635909343499E-2</c:v>
                  </c:pt>
                  <c:pt idx="192">
                    <c:v>2.0644060864833499E-2</c:v>
                  </c:pt>
                  <c:pt idx="193">
                    <c:v>4.6874121840406298E-2</c:v>
                  </c:pt>
                  <c:pt idx="194">
                    <c:v>2.0543685977272901E-2</c:v>
                  </c:pt>
                  <c:pt idx="195">
                    <c:v>4.0326165877392101E-2</c:v>
                  </c:pt>
                  <c:pt idx="196">
                    <c:v>2.05356658273225E-2</c:v>
                  </c:pt>
                  <c:pt idx="197">
                    <c:v>5.5995692155140199E-2</c:v>
                  </c:pt>
                  <c:pt idx="198">
                    <c:v>3.3621584795793399E-2</c:v>
                  </c:pt>
                  <c:pt idx="199">
                    <c:v>3.6222524609048998E-2</c:v>
                  </c:pt>
                  <c:pt idx="200">
                    <c:v>4.1213093916921698E-2</c:v>
                  </c:pt>
                  <c:pt idx="201">
                    <c:v>3.55853596931602E-2</c:v>
                  </c:pt>
                  <c:pt idx="202">
                    <c:v>4.0450681311077201E-2</c:v>
                  </c:pt>
                  <c:pt idx="203">
                    <c:v>3.1592786761972698E-2</c:v>
                  </c:pt>
                  <c:pt idx="204">
                    <c:v>1.7475707124907099E-2</c:v>
                  </c:pt>
                  <c:pt idx="205">
                    <c:v>1.1348757420820201E-2</c:v>
                  </c:pt>
                  <c:pt idx="206">
                    <c:v>4.5665239469458899E-2</c:v>
                  </c:pt>
                  <c:pt idx="207">
                    <c:v>1.9960130080666699E-2</c:v>
                  </c:pt>
                  <c:pt idx="208">
                    <c:v>5.8918410848403401E-2</c:v>
                  </c:pt>
                  <c:pt idx="209">
                    <c:v>3.1457175500691201E-2</c:v>
                  </c:pt>
                  <c:pt idx="210">
                    <c:v>2.7546212171160499E-2</c:v>
                  </c:pt>
                  <c:pt idx="211">
                    <c:v>1.50869286062928E-2</c:v>
                  </c:pt>
                  <c:pt idx="212">
                    <c:v>3.2314708928795302E-2</c:v>
                  </c:pt>
                  <c:pt idx="213">
                    <c:v>8.59803085529574E-3</c:v>
                  </c:pt>
                  <c:pt idx="214">
                    <c:v>4.1742358403497097E-2</c:v>
                  </c:pt>
                  <c:pt idx="215">
                    <c:v>8.5771391019865799E-3</c:v>
                  </c:pt>
                  <c:pt idx="216">
                    <c:v>2.7558387964115898E-2</c:v>
                  </c:pt>
                  <c:pt idx="217">
                    <c:v>2.0121393712949302E-2</c:v>
                  </c:pt>
                  <c:pt idx="218">
                    <c:v>2.5450378936768998E-2</c:v>
                  </c:pt>
                  <c:pt idx="219">
                    <c:v>3.1311042776728998E-2</c:v>
                  </c:pt>
                  <c:pt idx="220">
                    <c:v>4.3608591702206899E-3</c:v>
                  </c:pt>
                  <c:pt idx="221">
                    <c:v>3.5867976339669497E-2</c:v>
                  </c:pt>
                  <c:pt idx="222">
                    <c:v>5.2650597068645097E-2</c:v>
                  </c:pt>
                  <c:pt idx="223">
                    <c:v>2.3914092678208199E-2</c:v>
                  </c:pt>
                  <c:pt idx="224">
                    <c:v>2.6126393119732201E-2</c:v>
                  </c:pt>
                  <c:pt idx="225">
                    <c:v>3.0477637699076798E-2</c:v>
                  </c:pt>
                  <c:pt idx="226">
                    <c:v>3.5963863096153598E-2</c:v>
                  </c:pt>
                  <c:pt idx="227">
                    <c:v>2.3240476860972002E-2</c:v>
                  </c:pt>
                  <c:pt idx="228">
                    <c:v>4.7202351669259901E-2</c:v>
                  </c:pt>
                  <c:pt idx="229">
                    <c:v>3.7473657983237402E-2</c:v>
                  </c:pt>
                  <c:pt idx="230">
                    <c:v>5.0170163785718203E-2</c:v>
                  </c:pt>
                  <c:pt idx="231">
                    <c:v>3.10672881606819E-2</c:v>
                  </c:pt>
                  <c:pt idx="232">
                    <c:v>2.40275903806377E-2</c:v>
                  </c:pt>
                  <c:pt idx="233">
                    <c:v>3.2452637287255601E-2</c:v>
                  </c:pt>
                  <c:pt idx="234">
                    <c:v>4.5979815072515799E-2</c:v>
                  </c:pt>
                  <c:pt idx="235">
                    <c:v>2.38541167271045E-2</c:v>
                  </c:pt>
                  <c:pt idx="236">
                    <c:v>3.1347302834292101E-2</c:v>
                  </c:pt>
                  <c:pt idx="237">
                    <c:v>3.3090444952835703E-2</c:v>
                  </c:pt>
                  <c:pt idx="238">
                    <c:v>0.121801508809493</c:v>
                  </c:pt>
                  <c:pt idx="239">
                    <c:v>3.8613635388708802E-2</c:v>
                  </c:pt>
                  <c:pt idx="240">
                    <c:v>1.6212107864857599E-2</c:v>
                  </c:pt>
                  <c:pt idx="241">
                    <c:v>6.4250007195807604E-2</c:v>
                  </c:pt>
                  <c:pt idx="242">
                    <c:v>5.1221255800487697E-2</c:v>
                  </c:pt>
                  <c:pt idx="243">
                    <c:v>4.11856015157974E-2</c:v>
                  </c:pt>
                  <c:pt idx="244">
                    <c:v>1.7610131281396602E-2</c:v>
                  </c:pt>
                  <c:pt idx="245">
                    <c:v>3.41143758347267E-2</c:v>
                  </c:pt>
                  <c:pt idx="246">
                    <c:v>5.6670023967659897E-2</c:v>
                  </c:pt>
                  <c:pt idx="247">
                    <c:v>4.0791561523054097E-2</c:v>
                  </c:pt>
                  <c:pt idx="248">
                    <c:v>4.8739088032648002E-2</c:v>
                  </c:pt>
                  <c:pt idx="249">
                    <c:v>4.41909248231524E-2</c:v>
                  </c:pt>
                  <c:pt idx="250">
                    <c:v>3.5280989073848003E-2</c:v>
                  </c:pt>
                  <c:pt idx="251">
                    <c:v>6.2177510726220603E-2</c:v>
                  </c:pt>
                  <c:pt idx="252">
                    <c:v>2.0169001021488699E-2</c:v>
                  </c:pt>
                  <c:pt idx="253">
                    <c:v>4.91942700586087E-2</c:v>
                  </c:pt>
                  <c:pt idx="254">
                    <c:v>5.1704424601346097E-2</c:v>
                  </c:pt>
                  <c:pt idx="255">
                    <c:v>3.84186915475574E-2</c:v>
                  </c:pt>
                  <c:pt idx="256">
                    <c:v>3.8969045555403703E-2</c:v>
                  </c:pt>
                  <c:pt idx="257">
                    <c:v>3.7704293639276798E-2</c:v>
                  </c:pt>
                  <c:pt idx="258">
                    <c:v>1.3605788603859199E-2</c:v>
                  </c:pt>
                  <c:pt idx="259">
                    <c:v>2.3305656935448699E-2</c:v>
                  </c:pt>
                  <c:pt idx="260">
                    <c:v>2.5823684419555199E-2</c:v>
                  </c:pt>
                  <c:pt idx="261">
                    <c:v>5.0278973531216499E-2</c:v>
                  </c:pt>
                  <c:pt idx="262">
                    <c:v>2.9519479244585901E-2</c:v>
                  </c:pt>
                  <c:pt idx="263">
                    <c:v>4.6506550448149497E-2</c:v>
                  </c:pt>
                  <c:pt idx="264">
                    <c:v>2.5129565068664501E-2</c:v>
                  </c:pt>
                  <c:pt idx="265">
                    <c:v>7.3138210751811206E-2</c:v>
                  </c:pt>
                  <c:pt idx="266">
                    <c:v>5.38390208228052E-2</c:v>
                  </c:pt>
                  <c:pt idx="267">
                    <c:v>1.49014005606666E-2</c:v>
                  </c:pt>
                  <c:pt idx="268">
                    <c:v>1.37199234609527E-2</c:v>
                  </c:pt>
                  <c:pt idx="269">
                    <c:v>3.6084925192455902E-2</c:v>
                  </c:pt>
                  <c:pt idx="270">
                    <c:v>4.1780158293838597E-2</c:v>
                  </c:pt>
                  <c:pt idx="271">
                    <c:v>1.94062409252223E-2</c:v>
                  </c:pt>
                  <c:pt idx="272">
                    <c:v>4.1525372092054397E-2</c:v>
                  </c:pt>
                  <c:pt idx="273">
                    <c:v>4.1662126359613402E-2</c:v>
                  </c:pt>
                  <c:pt idx="274">
                    <c:v>2.3766086444925501E-2</c:v>
                  </c:pt>
                  <c:pt idx="275">
                    <c:v>3.8973370977860002E-2</c:v>
                  </c:pt>
                  <c:pt idx="276">
                    <c:v>2.9791243793042599E-2</c:v>
                  </c:pt>
                  <c:pt idx="277">
                    <c:v>3.55046454191403E-2</c:v>
                  </c:pt>
                  <c:pt idx="278">
                    <c:v>2.5439687415730598E-2</c:v>
                  </c:pt>
                  <c:pt idx="279">
                    <c:v>4.5645102247982197E-2</c:v>
                  </c:pt>
                </c:numCache>
              </c:numRef>
            </c:plus>
            <c:minus>
              <c:numRef>
                <c:f>'Paul dataset'!$AN$2:$AN$281</c:f>
                <c:numCache>
                  <c:formatCode>General</c:formatCode>
                  <c:ptCount val="280"/>
                  <c:pt idx="0">
                    <c:v>1.11945073538702E-2</c:v>
                  </c:pt>
                  <c:pt idx="1">
                    <c:v>2.1941779360668299E-2</c:v>
                  </c:pt>
                  <c:pt idx="2">
                    <c:v>1.4111722492744E-2</c:v>
                  </c:pt>
                  <c:pt idx="3">
                    <c:v>8.1359636488516299E-3</c:v>
                  </c:pt>
                  <c:pt idx="4">
                    <c:v>1.40517281827217E-2</c:v>
                  </c:pt>
                  <c:pt idx="5">
                    <c:v>3.2027979219602098E-2</c:v>
                  </c:pt>
                  <c:pt idx="6">
                    <c:v>4.4547412803859897E-2</c:v>
                  </c:pt>
                  <c:pt idx="7">
                    <c:v>5.2290402886855901E-2</c:v>
                  </c:pt>
                  <c:pt idx="8">
                    <c:v>2.2100716594274601E-2</c:v>
                  </c:pt>
                  <c:pt idx="9">
                    <c:v>2.4171692329406101E-2</c:v>
                  </c:pt>
                  <c:pt idx="10">
                    <c:v>3.1996047720770797E-2</c:v>
                  </c:pt>
                  <c:pt idx="11">
                    <c:v>3.8039425832348601E-2</c:v>
                  </c:pt>
                  <c:pt idx="12">
                    <c:v>1.23410248192164E-2</c:v>
                  </c:pt>
                  <c:pt idx="13">
                    <c:v>2.06325216617139E-2</c:v>
                  </c:pt>
                  <c:pt idx="14">
                    <c:v>1.9077718342601999E-2</c:v>
                  </c:pt>
                  <c:pt idx="15">
                    <c:v>3.54377733683948E-2</c:v>
                  </c:pt>
                  <c:pt idx="16">
                    <c:v>1.1030959145495E-2</c:v>
                  </c:pt>
                  <c:pt idx="17">
                    <c:v>1.56425638577046E-2</c:v>
                  </c:pt>
                  <c:pt idx="18">
                    <c:v>2.0908330886341E-2</c:v>
                  </c:pt>
                  <c:pt idx="19">
                    <c:v>2.4223199209940201E-2</c:v>
                  </c:pt>
                  <c:pt idx="20">
                    <c:v>4.2385788927599401E-2</c:v>
                  </c:pt>
                  <c:pt idx="21">
                    <c:v>2.4296020112585599E-2</c:v>
                  </c:pt>
                  <c:pt idx="22">
                    <c:v>1.8480014497922199E-2</c:v>
                  </c:pt>
                  <c:pt idx="23">
                    <c:v>3.4820215219911202E-2</c:v>
                  </c:pt>
                  <c:pt idx="24">
                    <c:v>1.78320443711103E-2</c:v>
                  </c:pt>
                  <c:pt idx="25">
                    <c:v>1.7053216227239699E-2</c:v>
                  </c:pt>
                  <c:pt idx="26">
                    <c:v>3.2642040608962399E-2</c:v>
                  </c:pt>
                  <c:pt idx="27">
                    <c:v>4.1096180624022698E-2</c:v>
                  </c:pt>
                  <c:pt idx="28">
                    <c:v>2.3921226322701401E-2</c:v>
                  </c:pt>
                  <c:pt idx="29">
                    <c:v>2.7736493441871301E-2</c:v>
                  </c:pt>
                  <c:pt idx="30">
                    <c:v>1.26023997421797E-2</c:v>
                  </c:pt>
                  <c:pt idx="31">
                    <c:v>2.3378499695437101E-2</c:v>
                  </c:pt>
                  <c:pt idx="32">
                    <c:v>1.7377308233438301E-2</c:v>
                  </c:pt>
                  <c:pt idx="33">
                    <c:v>1.6477192439419499E-2</c:v>
                  </c:pt>
                  <c:pt idx="34">
                    <c:v>1.35526417826088E-2</c:v>
                  </c:pt>
                  <c:pt idx="35">
                    <c:v>3.2085434994996602E-2</c:v>
                  </c:pt>
                  <c:pt idx="36">
                    <c:v>4.9079575196453701E-2</c:v>
                  </c:pt>
                  <c:pt idx="37">
                    <c:v>4.4800566311209503E-2</c:v>
                  </c:pt>
                  <c:pt idx="38">
                    <c:v>2.4560561009013701E-2</c:v>
                  </c:pt>
                  <c:pt idx="39">
                    <c:v>1.9761420925900899E-2</c:v>
                  </c:pt>
                  <c:pt idx="40">
                    <c:v>2.7605318777347301E-2</c:v>
                  </c:pt>
                  <c:pt idx="41">
                    <c:v>3.4357123085036897E-2</c:v>
                  </c:pt>
                  <c:pt idx="42">
                    <c:v>3.5471960547647202E-2</c:v>
                  </c:pt>
                  <c:pt idx="43">
                    <c:v>2.23149326552874E-2</c:v>
                  </c:pt>
                  <c:pt idx="44">
                    <c:v>4.3736807130717502E-2</c:v>
                  </c:pt>
                  <c:pt idx="45">
                    <c:v>1.93723306939096E-2</c:v>
                  </c:pt>
                  <c:pt idx="46">
                    <c:v>1.65330377537527E-2</c:v>
                  </c:pt>
                  <c:pt idx="47">
                    <c:v>3.1928508950266103E-2</c:v>
                  </c:pt>
                  <c:pt idx="48">
                    <c:v>2.7756219778666401E-2</c:v>
                  </c:pt>
                  <c:pt idx="49">
                    <c:v>2.1828993956429298E-2</c:v>
                  </c:pt>
                  <c:pt idx="50">
                    <c:v>2.65068813774775E-2</c:v>
                  </c:pt>
                  <c:pt idx="51">
                    <c:v>2.0839270803408999E-2</c:v>
                  </c:pt>
                  <c:pt idx="52">
                    <c:v>1.3724730997805299E-2</c:v>
                  </c:pt>
                  <c:pt idx="53">
                    <c:v>2.1381757226080302E-2</c:v>
                  </c:pt>
                  <c:pt idx="54">
                    <c:v>3.1826199307960802E-2</c:v>
                  </c:pt>
                  <c:pt idx="55">
                    <c:v>2.5988682969364098E-2</c:v>
                  </c:pt>
                  <c:pt idx="56">
                    <c:v>2.9361139953939401E-2</c:v>
                  </c:pt>
                  <c:pt idx="57">
                    <c:v>2.5373462708670101E-2</c:v>
                  </c:pt>
                  <c:pt idx="58">
                    <c:v>2.21928120518818E-2</c:v>
                  </c:pt>
                  <c:pt idx="59">
                    <c:v>2.6760297161719002E-2</c:v>
                  </c:pt>
                  <c:pt idx="60">
                    <c:v>3.7403171356192901E-2</c:v>
                  </c:pt>
                  <c:pt idx="61">
                    <c:v>2.6229885882391502E-2</c:v>
                  </c:pt>
                  <c:pt idx="62">
                    <c:v>1.4923753885794099E-2</c:v>
                  </c:pt>
                  <c:pt idx="63">
                    <c:v>5.95116609600767E-2</c:v>
                  </c:pt>
                  <c:pt idx="64">
                    <c:v>2.6039584659294499E-2</c:v>
                  </c:pt>
                  <c:pt idx="65">
                    <c:v>5.2408189418799503E-2</c:v>
                  </c:pt>
                  <c:pt idx="66">
                    <c:v>1.7640597574112401E-2</c:v>
                  </c:pt>
                  <c:pt idx="67">
                    <c:v>3.9058091536192399E-2</c:v>
                  </c:pt>
                  <c:pt idx="68">
                    <c:v>1.9497855216039299E-2</c:v>
                  </c:pt>
                  <c:pt idx="69">
                    <c:v>1.3080384980666101E-2</c:v>
                  </c:pt>
                  <c:pt idx="70">
                    <c:v>2.6602834210906999E-2</c:v>
                  </c:pt>
                  <c:pt idx="71">
                    <c:v>2.5071526018054801E-2</c:v>
                  </c:pt>
                  <c:pt idx="72">
                    <c:v>2.4795812273392601E-2</c:v>
                  </c:pt>
                  <c:pt idx="73">
                    <c:v>2.6511508337790798E-2</c:v>
                  </c:pt>
                  <c:pt idx="74">
                    <c:v>3.3630720316867202E-2</c:v>
                  </c:pt>
                  <c:pt idx="75">
                    <c:v>1.1159268654794E-2</c:v>
                  </c:pt>
                  <c:pt idx="76">
                    <c:v>1.86591596132611E-2</c:v>
                  </c:pt>
                  <c:pt idx="77">
                    <c:v>3.6780954932546399E-2</c:v>
                  </c:pt>
                  <c:pt idx="78">
                    <c:v>1.5523479223747499E-2</c:v>
                  </c:pt>
                  <c:pt idx="79">
                    <c:v>2.2165745569395701E-2</c:v>
                  </c:pt>
                  <c:pt idx="80">
                    <c:v>2.57286173079193E-2</c:v>
                  </c:pt>
                  <c:pt idx="81">
                    <c:v>2.0871761166892901E-2</c:v>
                  </c:pt>
                  <c:pt idx="82">
                    <c:v>3.2732692454885103E-2</c:v>
                  </c:pt>
                  <c:pt idx="83">
                    <c:v>1.7056876311994099E-2</c:v>
                  </c:pt>
                  <c:pt idx="84">
                    <c:v>2.3485416257091999E-2</c:v>
                  </c:pt>
                  <c:pt idx="85">
                    <c:v>3.4843597733167801E-2</c:v>
                  </c:pt>
                  <c:pt idx="86">
                    <c:v>2.7275665067271498E-2</c:v>
                  </c:pt>
                  <c:pt idx="87">
                    <c:v>1.88674431934087E-2</c:v>
                  </c:pt>
                  <c:pt idx="88">
                    <c:v>9.5905379478081892E-3</c:v>
                  </c:pt>
                  <c:pt idx="89">
                    <c:v>1.29327838499313E-2</c:v>
                  </c:pt>
                  <c:pt idx="90">
                    <c:v>3.3891961828573E-2</c:v>
                  </c:pt>
                  <c:pt idx="91">
                    <c:v>1.8751542754109E-2</c:v>
                  </c:pt>
                  <c:pt idx="92">
                    <c:v>1.7166559338466E-2</c:v>
                  </c:pt>
                  <c:pt idx="93">
                    <c:v>2.7845833596018599E-2</c:v>
                  </c:pt>
                  <c:pt idx="94">
                    <c:v>3.44520014122996E-2</c:v>
                  </c:pt>
                  <c:pt idx="95">
                    <c:v>2.7449508071073901E-2</c:v>
                  </c:pt>
                  <c:pt idx="96">
                    <c:v>2.2578278981890298E-2</c:v>
                  </c:pt>
                  <c:pt idx="97">
                    <c:v>4.8346194759141398E-2</c:v>
                  </c:pt>
                  <c:pt idx="98">
                    <c:v>4.09322857108083E-2</c:v>
                  </c:pt>
                  <c:pt idx="99">
                    <c:v>2.8665191530211302E-2</c:v>
                  </c:pt>
                  <c:pt idx="100">
                    <c:v>2.2657322622354901E-2</c:v>
                  </c:pt>
                  <c:pt idx="101">
                    <c:v>2.2233473739824799E-2</c:v>
                  </c:pt>
                  <c:pt idx="102">
                    <c:v>1.26558028210295E-2</c:v>
                  </c:pt>
                  <c:pt idx="103">
                    <c:v>6.8949887786414702E-3</c:v>
                  </c:pt>
                  <c:pt idx="104">
                    <c:v>1.7155222816562201E-2</c:v>
                  </c:pt>
                  <c:pt idx="105">
                    <c:v>1.6380098848133299E-2</c:v>
                  </c:pt>
                  <c:pt idx="106">
                    <c:v>2.7827884710245301E-2</c:v>
                  </c:pt>
                  <c:pt idx="107">
                    <c:v>2.49781575211564E-2</c:v>
                  </c:pt>
                  <c:pt idx="108">
                    <c:v>2.1618893432752501E-2</c:v>
                  </c:pt>
                  <c:pt idx="109">
                    <c:v>4.2866861852768702E-2</c:v>
                  </c:pt>
                  <c:pt idx="110">
                    <c:v>2.4693508430659199E-2</c:v>
                  </c:pt>
                  <c:pt idx="111">
                    <c:v>4.48280063972352E-2</c:v>
                  </c:pt>
                  <c:pt idx="112">
                    <c:v>2.7332698824006602E-2</c:v>
                  </c:pt>
                  <c:pt idx="113">
                    <c:v>4.0507369905857502E-2</c:v>
                  </c:pt>
                  <c:pt idx="114">
                    <c:v>2.5540445980439901E-2</c:v>
                  </c:pt>
                  <c:pt idx="115">
                    <c:v>3.5259543640281603E-2</c:v>
                  </c:pt>
                  <c:pt idx="116">
                    <c:v>2.9532229024759798E-2</c:v>
                  </c:pt>
                  <c:pt idx="117">
                    <c:v>8.9960388337227398E-3</c:v>
                  </c:pt>
                  <c:pt idx="118">
                    <c:v>3.0993150975992399E-2</c:v>
                  </c:pt>
                  <c:pt idx="119">
                    <c:v>2.38762002786649E-2</c:v>
                  </c:pt>
                  <c:pt idx="120">
                    <c:v>2.5366828345975999E-2</c:v>
                  </c:pt>
                  <c:pt idx="121">
                    <c:v>2.6380525454317801E-2</c:v>
                  </c:pt>
                  <c:pt idx="122">
                    <c:v>2.3269351573315201E-2</c:v>
                  </c:pt>
                  <c:pt idx="123">
                    <c:v>1.1824515372326099E-2</c:v>
                  </c:pt>
                  <c:pt idx="124">
                    <c:v>1.4438911952054699E-2</c:v>
                  </c:pt>
                  <c:pt idx="125">
                    <c:v>3.4596825931621403E-2</c:v>
                  </c:pt>
                  <c:pt idx="126">
                    <c:v>2.47763855296716E-2</c:v>
                  </c:pt>
                  <c:pt idx="127">
                    <c:v>3.00694903924821E-2</c:v>
                  </c:pt>
                  <c:pt idx="128">
                    <c:v>2.8042033362077501E-2</c:v>
                  </c:pt>
                  <c:pt idx="129">
                    <c:v>2.5166108680055199E-2</c:v>
                  </c:pt>
                  <c:pt idx="130">
                    <c:v>3.0971309874261201E-2</c:v>
                  </c:pt>
                  <c:pt idx="131">
                    <c:v>2.5091724359847901E-2</c:v>
                  </c:pt>
                  <c:pt idx="132">
                    <c:v>4.3998934574583301E-2</c:v>
                  </c:pt>
                  <c:pt idx="133">
                    <c:v>2.3679554382477201E-2</c:v>
                  </c:pt>
                  <c:pt idx="134">
                    <c:v>5.9006096550759599E-2</c:v>
                  </c:pt>
                  <c:pt idx="135">
                    <c:v>1.9830950359178999E-2</c:v>
                  </c:pt>
                  <c:pt idx="136">
                    <c:v>1.6376726284544799E-2</c:v>
                  </c:pt>
                  <c:pt idx="137">
                    <c:v>4.5758366457145698E-2</c:v>
                  </c:pt>
                  <c:pt idx="138">
                    <c:v>2.2219488444308998E-2</c:v>
                  </c:pt>
                  <c:pt idx="139">
                    <c:v>2.69803020042962E-2</c:v>
                  </c:pt>
                  <c:pt idx="140">
                    <c:v>4.17790438561359E-2</c:v>
                  </c:pt>
                  <c:pt idx="141">
                    <c:v>2.1601328586996101E-2</c:v>
                  </c:pt>
                  <c:pt idx="142">
                    <c:v>5.80456057103789E-3</c:v>
                  </c:pt>
                  <c:pt idx="143">
                    <c:v>2.4102130133085299E-2</c:v>
                  </c:pt>
                  <c:pt idx="144">
                    <c:v>3.2278060185013203E-2</c:v>
                  </c:pt>
                  <c:pt idx="145">
                    <c:v>1.48041438768848E-2</c:v>
                  </c:pt>
                  <c:pt idx="146">
                    <c:v>2.9699931193928102E-2</c:v>
                  </c:pt>
                  <c:pt idx="147">
                    <c:v>2.8427005134010801E-2</c:v>
                  </c:pt>
                  <c:pt idx="148">
                    <c:v>2.2817376048645002E-2</c:v>
                  </c:pt>
                  <c:pt idx="149">
                    <c:v>2.3984456847504401E-2</c:v>
                  </c:pt>
                  <c:pt idx="150">
                    <c:v>4.5934039496008501E-2</c:v>
                  </c:pt>
                  <c:pt idx="151">
                    <c:v>3.6350025769493199E-2</c:v>
                  </c:pt>
                  <c:pt idx="152">
                    <c:v>4.2986695861064399E-2</c:v>
                  </c:pt>
                  <c:pt idx="153">
                    <c:v>2.67538404686351E-2</c:v>
                  </c:pt>
                  <c:pt idx="154">
                    <c:v>5.2093087297532502E-2</c:v>
                  </c:pt>
                  <c:pt idx="155">
                    <c:v>1.21959898244064E-2</c:v>
                  </c:pt>
                  <c:pt idx="156">
                    <c:v>2.7346226680415201E-2</c:v>
                  </c:pt>
                  <c:pt idx="157">
                    <c:v>2.6016260811059198E-2</c:v>
                  </c:pt>
                  <c:pt idx="158">
                    <c:v>2.92435415023326E-2</c:v>
                  </c:pt>
                  <c:pt idx="159">
                    <c:v>1.4805717546129801E-2</c:v>
                  </c:pt>
                  <c:pt idx="160">
                    <c:v>1.34076898961694E-2</c:v>
                  </c:pt>
                  <c:pt idx="161">
                    <c:v>4.40058817640923E-2</c:v>
                  </c:pt>
                  <c:pt idx="162">
                    <c:v>3.3027150071178103E-2</c:v>
                  </c:pt>
                  <c:pt idx="163">
                    <c:v>2.88433577733621E-2</c:v>
                  </c:pt>
                  <c:pt idx="164">
                    <c:v>1.56707882010374E-2</c:v>
                  </c:pt>
                  <c:pt idx="165">
                    <c:v>3.5636191614041697E-2</c:v>
                  </c:pt>
                  <c:pt idx="166">
                    <c:v>1.3647524714865401E-2</c:v>
                  </c:pt>
                  <c:pt idx="167">
                    <c:v>5.04898160810709E-2</c:v>
                  </c:pt>
                  <c:pt idx="168">
                    <c:v>3.7810610330175097E-2</c:v>
                  </c:pt>
                  <c:pt idx="169">
                    <c:v>2.92675231713624E-2</c:v>
                  </c:pt>
                  <c:pt idx="170">
                    <c:v>1.8753680330961399E-2</c:v>
                  </c:pt>
                  <c:pt idx="171">
                    <c:v>2.8025672190806102E-2</c:v>
                  </c:pt>
                  <c:pt idx="172">
                    <c:v>2.5119267966686801E-2</c:v>
                  </c:pt>
                  <c:pt idx="173">
                    <c:v>3.6840226834116099E-2</c:v>
                  </c:pt>
                  <c:pt idx="174">
                    <c:v>2.1233091546511099E-2</c:v>
                  </c:pt>
                  <c:pt idx="175">
                    <c:v>2.4963857415345E-2</c:v>
                  </c:pt>
                  <c:pt idx="176">
                    <c:v>3.2917689159692697E-2</c:v>
                  </c:pt>
                  <c:pt idx="177">
                    <c:v>3.8314034826830302E-2</c:v>
                  </c:pt>
                  <c:pt idx="178">
                    <c:v>1.23535005800187E-2</c:v>
                  </c:pt>
                  <c:pt idx="179">
                    <c:v>3.4676249823397801E-2</c:v>
                  </c:pt>
                  <c:pt idx="180">
                    <c:v>9.5382630833963297E-3</c:v>
                  </c:pt>
                  <c:pt idx="181">
                    <c:v>3.9004972741019897E-2</c:v>
                  </c:pt>
                  <c:pt idx="182">
                    <c:v>3.1785012243150099E-2</c:v>
                  </c:pt>
                  <c:pt idx="183">
                    <c:v>1.8191546329683499E-2</c:v>
                  </c:pt>
                  <c:pt idx="184">
                    <c:v>1.1843626037340699E-2</c:v>
                  </c:pt>
                  <c:pt idx="185">
                    <c:v>3.0704755756737E-2</c:v>
                  </c:pt>
                  <c:pt idx="186">
                    <c:v>2.8114997783532499E-2</c:v>
                  </c:pt>
                  <c:pt idx="187">
                    <c:v>2.36834692634432E-2</c:v>
                  </c:pt>
                  <c:pt idx="188">
                    <c:v>3.2910907555598397E-2</c:v>
                  </c:pt>
                  <c:pt idx="189">
                    <c:v>3.7902473763967402E-2</c:v>
                  </c:pt>
                  <c:pt idx="190">
                    <c:v>4.60854560581829E-2</c:v>
                  </c:pt>
                  <c:pt idx="191">
                    <c:v>2.4100635909343499E-2</c:v>
                  </c:pt>
                  <c:pt idx="192">
                    <c:v>2.0644060864833499E-2</c:v>
                  </c:pt>
                  <c:pt idx="193">
                    <c:v>4.6874121840406298E-2</c:v>
                  </c:pt>
                  <c:pt idx="194">
                    <c:v>2.0543685977272901E-2</c:v>
                  </c:pt>
                  <c:pt idx="195">
                    <c:v>4.0326165877392101E-2</c:v>
                  </c:pt>
                  <c:pt idx="196">
                    <c:v>2.05356658273225E-2</c:v>
                  </c:pt>
                  <c:pt idx="197">
                    <c:v>5.5995692155140199E-2</c:v>
                  </c:pt>
                  <c:pt idx="198">
                    <c:v>3.3621584795793399E-2</c:v>
                  </c:pt>
                  <c:pt idx="199">
                    <c:v>3.6222524609048998E-2</c:v>
                  </c:pt>
                  <c:pt idx="200">
                    <c:v>4.1213093916921698E-2</c:v>
                  </c:pt>
                  <c:pt idx="201">
                    <c:v>3.55853596931602E-2</c:v>
                  </c:pt>
                  <c:pt idx="202">
                    <c:v>4.0450681311077201E-2</c:v>
                  </c:pt>
                  <c:pt idx="203">
                    <c:v>3.1592786761972698E-2</c:v>
                  </c:pt>
                  <c:pt idx="204">
                    <c:v>1.7475707124907099E-2</c:v>
                  </c:pt>
                  <c:pt idx="205">
                    <c:v>1.1348757420820201E-2</c:v>
                  </c:pt>
                  <c:pt idx="206">
                    <c:v>4.5665239469458899E-2</c:v>
                  </c:pt>
                  <c:pt idx="207">
                    <c:v>1.9960130080666699E-2</c:v>
                  </c:pt>
                  <c:pt idx="208">
                    <c:v>5.8918410848403401E-2</c:v>
                  </c:pt>
                  <c:pt idx="209">
                    <c:v>3.1457175500691201E-2</c:v>
                  </c:pt>
                  <c:pt idx="210">
                    <c:v>2.7546212171160499E-2</c:v>
                  </c:pt>
                  <c:pt idx="211">
                    <c:v>1.50869286062928E-2</c:v>
                  </c:pt>
                  <c:pt idx="212">
                    <c:v>3.2314708928795302E-2</c:v>
                  </c:pt>
                  <c:pt idx="213">
                    <c:v>8.59803085529574E-3</c:v>
                  </c:pt>
                  <c:pt idx="214">
                    <c:v>4.1742358403497097E-2</c:v>
                  </c:pt>
                  <c:pt idx="215">
                    <c:v>8.5771391019865799E-3</c:v>
                  </c:pt>
                  <c:pt idx="216">
                    <c:v>2.7558387964115898E-2</c:v>
                  </c:pt>
                  <c:pt idx="217">
                    <c:v>2.0121393712949302E-2</c:v>
                  </c:pt>
                  <c:pt idx="218">
                    <c:v>2.5450378936768998E-2</c:v>
                  </c:pt>
                  <c:pt idx="219">
                    <c:v>3.1311042776728998E-2</c:v>
                  </c:pt>
                  <c:pt idx="220">
                    <c:v>4.3608591702206899E-3</c:v>
                  </c:pt>
                  <c:pt idx="221">
                    <c:v>3.5867976339669497E-2</c:v>
                  </c:pt>
                  <c:pt idx="222">
                    <c:v>5.2650597068645097E-2</c:v>
                  </c:pt>
                  <c:pt idx="223">
                    <c:v>2.3914092678208199E-2</c:v>
                  </c:pt>
                  <c:pt idx="224">
                    <c:v>2.6126393119732201E-2</c:v>
                  </c:pt>
                  <c:pt idx="225">
                    <c:v>3.0477637699076798E-2</c:v>
                  </c:pt>
                  <c:pt idx="226">
                    <c:v>3.5963863096153598E-2</c:v>
                  </c:pt>
                  <c:pt idx="227">
                    <c:v>2.3240476860972002E-2</c:v>
                  </c:pt>
                  <c:pt idx="228">
                    <c:v>4.7202351669259901E-2</c:v>
                  </c:pt>
                  <c:pt idx="229">
                    <c:v>3.7473657983237402E-2</c:v>
                  </c:pt>
                  <c:pt idx="230">
                    <c:v>5.0170163785718203E-2</c:v>
                  </c:pt>
                  <c:pt idx="231">
                    <c:v>3.10672881606819E-2</c:v>
                  </c:pt>
                  <c:pt idx="232">
                    <c:v>2.40275903806377E-2</c:v>
                  </c:pt>
                  <c:pt idx="233">
                    <c:v>3.2452637287255601E-2</c:v>
                  </c:pt>
                  <c:pt idx="234">
                    <c:v>4.5979815072515799E-2</c:v>
                  </c:pt>
                  <c:pt idx="235">
                    <c:v>2.38541167271045E-2</c:v>
                  </c:pt>
                  <c:pt idx="236">
                    <c:v>3.1347302834292101E-2</c:v>
                  </c:pt>
                  <c:pt idx="237">
                    <c:v>3.3090444952835703E-2</c:v>
                  </c:pt>
                  <c:pt idx="238">
                    <c:v>0.121801508809493</c:v>
                  </c:pt>
                  <c:pt idx="239">
                    <c:v>3.8613635388708802E-2</c:v>
                  </c:pt>
                  <c:pt idx="240">
                    <c:v>1.6212107864857599E-2</c:v>
                  </c:pt>
                  <c:pt idx="241">
                    <c:v>6.4250007195807604E-2</c:v>
                  </c:pt>
                  <c:pt idx="242">
                    <c:v>5.1221255800487697E-2</c:v>
                  </c:pt>
                  <c:pt idx="243">
                    <c:v>4.11856015157974E-2</c:v>
                  </c:pt>
                  <c:pt idx="244">
                    <c:v>1.7610131281396602E-2</c:v>
                  </c:pt>
                  <c:pt idx="245">
                    <c:v>3.41143758347267E-2</c:v>
                  </c:pt>
                  <c:pt idx="246">
                    <c:v>5.6670023967659897E-2</c:v>
                  </c:pt>
                  <c:pt idx="247">
                    <c:v>4.0791561523054097E-2</c:v>
                  </c:pt>
                  <c:pt idx="248">
                    <c:v>4.8739088032648002E-2</c:v>
                  </c:pt>
                  <c:pt idx="249">
                    <c:v>4.41909248231524E-2</c:v>
                  </c:pt>
                  <c:pt idx="250">
                    <c:v>3.5280989073848003E-2</c:v>
                  </c:pt>
                  <c:pt idx="251">
                    <c:v>6.2177510726220603E-2</c:v>
                  </c:pt>
                  <c:pt idx="252">
                    <c:v>2.0169001021488699E-2</c:v>
                  </c:pt>
                  <c:pt idx="253">
                    <c:v>4.91942700586087E-2</c:v>
                  </c:pt>
                  <c:pt idx="254">
                    <c:v>5.1704424601346097E-2</c:v>
                  </c:pt>
                  <c:pt idx="255">
                    <c:v>3.84186915475574E-2</c:v>
                  </c:pt>
                  <c:pt idx="256">
                    <c:v>3.8969045555403703E-2</c:v>
                  </c:pt>
                  <c:pt idx="257">
                    <c:v>3.7704293639276798E-2</c:v>
                  </c:pt>
                  <c:pt idx="258">
                    <c:v>1.3605788603859199E-2</c:v>
                  </c:pt>
                  <c:pt idx="259">
                    <c:v>2.3305656935448699E-2</c:v>
                  </c:pt>
                  <c:pt idx="260">
                    <c:v>2.5823684419555199E-2</c:v>
                  </c:pt>
                  <c:pt idx="261">
                    <c:v>5.0278973531216499E-2</c:v>
                  </c:pt>
                  <c:pt idx="262">
                    <c:v>2.9519479244585901E-2</c:v>
                  </c:pt>
                  <c:pt idx="263">
                    <c:v>4.6506550448149497E-2</c:v>
                  </c:pt>
                  <c:pt idx="264">
                    <c:v>2.5129565068664501E-2</c:v>
                  </c:pt>
                  <c:pt idx="265">
                    <c:v>7.3138210751811206E-2</c:v>
                  </c:pt>
                  <c:pt idx="266">
                    <c:v>5.38390208228052E-2</c:v>
                  </c:pt>
                  <c:pt idx="267">
                    <c:v>1.49014005606666E-2</c:v>
                  </c:pt>
                  <c:pt idx="268">
                    <c:v>1.37199234609527E-2</c:v>
                  </c:pt>
                  <c:pt idx="269">
                    <c:v>3.6084925192455902E-2</c:v>
                  </c:pt>
                  <c:pt idx="270">
                    <c:v>4.1780158293838597E-2</c:v>
                  </c:pt>
                  <c:pt idx="271">
                    <c:v>1.94062409252223E-2</c:v>
                  </c:pt>
                  <c:pt idx="272">
                    <c:v>4.1525372092054397E-2</c:v>
                  </c:pt>
                  <c:pt idx="273">
                    <c:v>4.1662126359613402E-2</c:v>
                  </c:pt>
                  <c:pt idx="274">
                    <c:v>2.3766086444925501E-2</c:v>
                  </c:pt>
                  <c:pt idx="275">
                    <c:v>3.8973370977860002E-2</c:v>
                  </c:pt>
                  <c:pt idx="276">
                    <c:v>2.9791243793042599E-2</c:v>
                  </c:pt>
                  <c:pt idx="277">
                    <c:v>3.55046454191403E-2</c:v>
                  </c:pt>
                  <c:pt idx="278">
                    <c:v>2.5439687415730598E-2</c:v>
                  </c:pt>
                  <c:pt idx="279">
                    <c:v>4.5645102247982197E-2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1"/>
            <c:plus>
              <c:numRef>
                <c:f>'Paul dataset'!$AE$2:$AE$281</c:f>
                <c:numCache>
                  <c:formatCode>General</c:formatCode>
                  <c:ptCount val="280"/>
                  <c:pt idx="0">
                    <c:v>1.294272130234661E-2</c:v>
                  </c:pt>
                  <c:pt idx="1">
                    <c:v>0.13564968058771079</c:v>
                  </c:pt>
                  <c:pt idx="2">
                    <c:v>2.036184534790964E-3</c:v>
                  </c:pt>
                  <c:pt idx="3">
                    <c:v>2.5993188017183928E-2</c:v>
                  </c:pt>
                  <c:pt idx="4">
                    <c:v>7.9847201489404197E-3</c:v>
                  </c:pt>
                  <c:pt idx="5">
                    <c:v>8.3358417933041972E-4</c:v>
                  </c:pt>
                  <c:pt idx="6">
                    <c:v>7.450924975955997E-2</c:v>
                  </c:pt>
                  <c:pt idx="7">
                    <c:v>9.9051471933741999E-3</c:v>
                  </c:pt>
                  <c:pt idx="8">
                    <c:v>1.279854830003236E-2</c:v>
                  </c:pt>
                  <c:pt idx="9">
                    <c:v>7.6625200412675551E-2</c:v>
                  </c:pt>
                  <c:pt idx="10">
                    <c:v>2.0821699580131181E-3</c:v>
                  </c:pt>
                  <c:pt idx="11">
                    <c:v>2.6038343250464141E-2</c:v>
                  </c:pt>
                  <c:pt idx="12">
                    <c:v>4.4452682561833979E-3</c:v>
                  </c:pt>
                  <c:pt idx="13">
                    <c:v>7.2754748017715212E-3</c:v>
                  </c:pt>
                  <c:pt idx="14">
                    <c:v>7.7279653570898983E-3</c:v>
                  </c:pt>
                  <c:pt idx="15">
                    <c:v>9.8694181004846913E-3</c:v>
                  </c:pt>
                  <c:pt idx="16">
                    <c:v>8.8868664621583552E-3</c:v>
                  </c:pt>
                  <c:pt idx="17">
                    <c:v>2.356014299132036E-3</c:v>
                  </c:pt>
                  <c:pt idx="18">
                    <c:v>1.996712324977687E-3</c:v>
                  </c:pt>
                  <c:pt idx="19">
                    <c:v>8.2142811712026149E-3</c:v>
                  </c:pt>
                  <c:pt idx="20">
                    <c:v>5.8936630547841134E-3</c:v>
                  </c:pt>
                  <c:pt idx="21">
                    <c:v>1.5457630803294761E-2</c:v>
                  </c:pt>
                  <c:pt idx="22">
                    <c:v>1.545054726564961E-2</c:v>
                  </c:pt>
                  <c:pt idx="23">
                    <c:v>0.1095793548520949</c:v>
                  </c:pt>
                  <c:pt idx="24">
                    <c:v>1.5412690854560329E-3</c:v>
                  </c:pt>
                  <c:pt idx="25">
                    <c:v>8.3843310799998863E-2</c:v>
                  </c:pt>
                  <c:pt idx="26">
                    <c:v>9.9003637157663894E-3</c:v>
                  </c:pt>
                  <c:pt idx="27">
                    <c:v>1.6483084154857709E-2</c:v>
                  </c:pt>
                  <c:pt idx="28">
                    <c:v>1.0982166216606699E-2</c:v>
                  </c:pt>
                  <c:pt idx="29">
                    <c:v>2.6390732279320581E-2</c:v>
                  </c:pt>
                  <c:pt idx="30">
                    <c:v>1.4773616102523609E-2</c:v>
                  </c:pt>
                  <c:pt idx="31">
                    <c:v>4.8683894411408824E-3</c:v>
                  </c:pt>
                  <c:pt idx="32">
                    <c:v>2.527678793962157E-2</c:v>
                  </c:pt>
                  <c:pt idx="33">
                    <c:v>8.5253542053357802E-3</c:v>
                  </c:pt>
                  <c:pt idx="34">
                    <c:v>4.4276436015314749E-4</c:v>
                  </c:pt>
                  <c:pt idx="35">
                    <c:v>2.217291393649267E-3</c:v>
                  </c:pt>
                  <c:pt idx="36">
                    <c:v>1.30730254302091E-2</c:v>
                  </c:pt>
                  <c:pt idx="37">
                    <c:v>1.025669759223596E-2</c:v>
                  </c:pt>
                  <c:pt idx="38">
                    <c:v>5.0689870632973427E-3</c:v>
                  </c:pt>
                  <c:pt idx="39">
                    <c:v>7.9816260917613055E-2</c:v>
                  </c:pt>
                  <c:pt idx="40">
                    <c:v>1.0012592683189109E-3</c:v>
                  </c:pt>
                  <c:pt idx="41">
                    <c:v>5.5996708174201491E-3</c:v>
                  </c:pt>
                  <c:pt idx="42">
                    <c:v>2.7564668502500549E-2</c:v>
                  </c:pt>
                  <c:pt idx="43">
                    <c:v>3.5037783085195069E-2</c:v>
                  </c:pt>
                  <c:pt idx="44">
                    <c:v>1.3959576260723741E-2</c:v>
                  </c:pt>
                  <c:pt idx="45">
                    <c:v>2.1071891910074959E-2</c:v>
                  </c:pt>
                  <c:pt idx="46">
                    <c:v>7.200705410837587E-3</c:v>
                  </c:pt>
                  <c:pt idx="47">
                    <c:v>3.675476643343879E-3</c:v>
                  </c:pt>
                  <c:pt idx="48">
                    <c:v>2.4140816560313309E-2</c:v>
                  </c:pt>
                  <c:pt idx="49">
                    <c:v>1.239287752952432E-2</c:v>
                  </c:pt>
                  <c:pt idx="50">
                    <c:v>1.6749806865949901E-2</c:v>
                  </c:pt>
                  <c:pt idx="51">
                    <c:v>7.4351753328947808E-3</c:v>
                  </c:pt>
                  <c:pt idx="52">
                    <c:v>5.6348969423995711E-3</c:v>
                  </c:pt>
                  <c:pt idx="53">
                    <c:v>1.7024806801462612E-2</c:v>
                  </c:pt>
                  <c:pt idx="54">
                    <c:v>1.4426317800383099E-2</c:v>
                  </c:pt>
                  <c:pt idx="55">
                    <c:v>7.9230982780971338E-3</c:v>
                  </c:pt>
                  <c:pt idx="56">
                    <c:v>4.8842084080157992E-3</c:v>
                  </c:pt>
                  <c:pt idx="57">
                    <c:v>4.5110369876273987E-3</c:v>
                  </c:pt>
                  <c:pt idx="58">
                    <c:v>4.6622578129600313E-3</c:v>
                  </c:pt>
                  <c:pt idx="59">
                    <c:v>5.7174241468143519E-3</c:v>
                  </c:pt>
                  <c:pt idx="60">
                    <c:v>1.268026751280985E-2</c:v>
                  </c:pt>
                  <c:pt idx="61">
                    <c:v>2.2807897106579222E-2</c:v>
                  </c:pt>
                  <c:pt idx="62">
                    <c:v>6.6612852950861407E-3</c:v>
                  </c:pt>
                  <c:pt idx="63">
                    <c:v>4.6090906849450084E-3</c:v>
                  </c:pt>
                  <c:pt idx="64">
                    <c:v>0.13465811620461449</c:v>
                  </c:pt>
                  <c:pt idx="65">
                    <c:v>3.428724596226021E-2</c:v>
                  </c:pt>
                  <c:pt idx="66">
                    <c:v>1.082459485920721E-2</c:v>
                  </c:pt>
                  <c:pt idx="67">
                    <c:v>1.0309744026150799E-2</c:v>
                  </c:pt>
                  <c:pt idx="68">
                    <c:v>1.8647182097790319E-2</c:v>
                  </c:pt>
                  <c:pt idx="69">
                    <c:v>2.2908287225334941E-2</c:v>
                  </c:pt>
                  <c:pt idx="70">
                    <c:v>3.9700339843523362E-3</c:v>
                  </c:pt>
                  <c:pt idx="71">
                    <c:v>8.8015052671100522E-3</c:v>
                  </c:pt>
                  <c:pt idx="72">
                    <c:v>5.8426504836833206E-4</c:v>
                  </c:pt>
                  <c:pt idx="73">
                    <c:v>3.4768403087800251E-3</c:v>
                  </c:pt>
                  <c:pt idx="74">
                    <c:v>7.6645624894044516E-3</c:v>
                  </c:pt>
                  <c:pt idx="75">
                    <c:v>1.0539073370809121E-2</c:v>
                  </c:pt>
                  <c:pt idx="76">
                    <c:v>1.253065730196808E-3</c:v>
                  </c:pt>
                  <c:pt idx="77">
                    <c:v>7.9876469566824305E-3</c:v>
                  </c:pt>
                  <c:pt idx="78">
                    <c:v>1.3037028380568001E-3</c:v>
                  </c:pt>
                  <c:pt idx="79">
                    <c:v>2.5050274942234299E-3</c:v>
                  </c:pt>
                  <c:pt idx="80">
                    <c:v>5.4131337241158546E-3</c:v>
                  </c:pt>
                  <c:pt idx="81">
                    <c:v>1.0548028526300379E-2</c:v>
                  </c:pt>
                  <c:pt idx="82">
                    <c:v>8.3570130085490121E-3</c:v>
                  </c:pt>
                  <c:pt idx="83">
                    <c:v>1.0867550787295991E-2</c:v>
                  </c:pt>
                  <c:pt idx="84">
                    <c:v>6.1023433734117916E-3</c:v>
                  </c:pt>
                  <c:pt idx="85">
                    <c:v>1.0594244265274321E-3</c:v>
                  </c:pt>
                  <c:pt idx="86">
                    <c:v>1.861205107463319E-2</c:v>
                  </c:pt>
                  <c:pt idx="87">
                    <c:v>5.8191112966586144E-3</c:v>
                  </c:pt>
                  <c:pt idx="88">
                    <c:v>1.7191590218186718E-2</c:v>
                  </c:pt>
                  <c:pt idx="89">
                    <c:v>9.7612671309064123E-4</c:v>
                  </c:pt>
                  <c:pt idx="90">
                    <c:v>7.9913216928039314E-3</c:v>
                  </c:pt>
                  <c:pt idx="91">
                    <c:v>3.889109908174722E-3</c:v>
                  </c:pt>
                  <c:pt idx="92">
                    <c:v>7.5839128856669486E-3</c:v>
                  </c:pt>
                  <c:pt idx="93">
                    <c:v>1.2617656079738819E-3</c:v>
                  </c:pt>
                  <c:pt idx="94">
                    <c:v>1.14185235790685E-3</c:v>
                  </c:pt>
                  <c:pt idx="95">
                    <c:v>6.5188749716355073E-3</c:v>
                  </c:pt>
                  <c:pt idx="96">
                    <c:v>2.2318452511214939E-3</c:v>
                  </c:pt>
                  <c:pt idx="97">
                    <c:v>2.008972535661974E-2</c:v>
                  </c:pt>
                  <c:pt idx="98">
                    <c:v>3.1432604308156459E-3</c:v>
                  </c:pt>
                  <c:pt idx="99">
                    <c:v>2.0999593922924061E-2</c:v>
                  </c:pt>
                  <c:pt idx="100">
                    <c:v>4.8603070810243933E-3</c:v>
                  </c:pt>
                  <c:pt idx="101">
                    <c:v>2.1054633707947778E-3</c:v>
                  </c:pt>
                  <c:pt idx="102">
                    <c:v>7.7382065490691748E-3</c:v>
                  </c:pt>
                  <c:pt idx="103">
                    <c:v>4.3636082225206223E-3</c:v>
                  </c:pt>
                  <c:pt idx="104">
                    <c:v>2.997222992303717E-3</c:v>
                  </c:pt>
                  <c:pt idx="105">
                    <c:v>1.9966591062924839E-3</c:v>
                  </c:pt>
                  <c:pt idx="106">
                    <c:v>2.391403548404538E-2</c:v>
                  </c:pt>
                  <c:pt idx="107">
                    <c:v>1.5172200397242661E-3</c:v>
                  </c:pt>
                  <c:pt idx="108">
                    <c:v>1.43344168732317E-2</c:v>
                  </c:pt>
                  <c:pt idx="109">
                    <c:v>4.549722821809263E-3</c:v>
                  </c:pt>
                  <c:pt idx="110">
                    <c:v>4.9684040093986763E-3</c:v>
                  </c:pt>
                  <c:pt idx="111">
                    <c:v>4.6185748684066828E-3</c:v>
                  </c:pt>
                  <c:pt idx="112">
                    <c:v>3.5391291986445257E-2</c:v>
                  </c:pt>
                  <c:pt idx="113">
                    <c:v>5.1552723590308257E-3</c:v>
                  </c:pt>
                  <c:pt idx="114">
                    <c:v>3.8137878283688489E-2</c:v>
                  </c:pt>
                  <c:pt idx="115">
                    <c:v>2.6328187804412948E-3</c:v>
                  </c:pt>
                  <c:pt idx="116">
                    <c:v>1.8800045979499851E-2</c:v>
                  </c:pt>
                  <c:pt idx="117">
                    <c:v>5.6408252427047709E-2</c:v>
                  </c:pt>
                  <c:pt idx="118">
                    <c:v>7.5193766450612504E-3</c:v>
                  </c:pt>
                  <c:pt idx="119">
                    <c:v>1.9891376971380541E-2</c:v>
                  </c:pt>
                  <c:pt idx="120">
                    <c:v>3.478291588400436E-2</c:v>
                  </c:pt>
                  <c:pt idx="121">
                    <c:v>5.7141767520572082E-2</c:v>
                  </c:pt>
                  <c:pt idx="122">
                    <c:v>3.1540557466290318E-3</c:v>
                  </c:pt>
                  <c:pt idx="123">
                    <c:v>3.2886241146487961E-3</c:v>
                  </c:pt>
                  <c:pt idx="124">
                    <c:v>2.7955393491889912E-3</c:v>
                  </c:pt>
                  <c:pt idx="125">
                    <c:v>1.434613613419675E-2</c:v>
                  </c:pt>
                  <c:pt idx="126">
                    <c:v>4.7617102736222383E-3</c:v>
                  </c:pt>
                  <c:pt idx="127">
                    <c:v>1.00292724225162E-2</c:v>
                  </c:pt>
                  <c:pt idx="128">
                    <c:v>1.0959715520701369E-2</c:v>
                  </c:pt>
                  <c:pt idx="129">
                    <c:v>5.201109430586915E-2</c:v>
                  </c:pt>
                  <c:pt idx="130">
                    <c:v>1.596238906689508E-2</c:v>
                  </c:pt>
                  <c:pt idx="131">
                    <c:v>5.4052229013784444E-3</c:v>
                  </c:pt>
                  <c:pt idx="132">
                    <c:v>2.9600093819201059E-2</c:v>
                  </c:pt>
                  <c:pt idx="133">
                    <c:v>3.0703944482479682E-2</c:v>
                  </c:pt>
                  <c:pt idx="134">
                    <c:v>4.2843730899831567E-2</c:v>
                  </c:pt>
                  <c:pt idx="135">
                    <c:v>2.195615167210585E-2</c:v>
                  </c:pt>
                  <c:pt idx="136">
                    <c:v>1.2068605580688729E-2</c:v>
                  </c:pt>
                  <c:pt idx="137">
                    <c:v>6.8565330153830539E-2</c:v>
                  </c:pt>
                  <c:pt idx="138">
                    <c:v>1.9711639632541501E-2</c:v>
                  </c:pt>
                  <c:pt idx="139">
                    <c:v>1.5042595441486161E-2</c:v>
                  </c:pt>
                  <c:pt idx="140">
                    <c:v>2.280717791957405E-2</c:v>
                  </c:pt>
                  <c:pt idx="141">
                    <c:v>6.3001400870721355E-2</c:v>
                  </c:pt>
                  <c:pt idx="142">
                    <c:v>1.784092842334572E-3</c:v>
                  </c:pt>
                  <c:pt idx="143">
                    <c:v>2.341325267664297E-2</c:v>
                  </c:pt>
                  <c:pt idx="144">
                    <c:v>3.6606054444857259E-3</c:v>
                  </c:pt>
                  <c:pt idx="145">
                    <c:v>6.9406696631654288E-3</c:v>
                  </c:pt>
                  <c:pt idx="146">
                    <c:v>2.0826000064980432E-2</c:v>
                  </c:pt>
                  <c:pt idx="147">
                    <c:v>4.7540289840916371E-2</c:v>
                  </c:pt>
                  <c:pt idx="148">
                    <c:v>1.9356047120482351E-2</c:v>
                  </c:pt>
                  <c:pt idx="149">
                    <c:v>5.4006589267368198E-2</c:v>
                  </c:pt>
                  <c:pt idx="150">
                    <c:v>1.027008251534612E-2</c:v>
                  </c:pt>
                  <c:pt idx="151">
                    <c:v>3.0725218456701429E-2</c:v>
                  </c:pt>
                  <c:pt idx="152">
                    <c:v>2.5577205187964681E-2</c:v>
                  </c:pt>
                  <c:pt idx="153">
                    <c:v>9.4266062615136134E-3</c:v>
                  </c:pt>
                  <c:pt idx="154">
                    <c:v>1.0900394773784121E-2</c:v>
                  </c:pt>
                  <c:pt idx="155">
                    <c:v>1.983623309944647E-2</c:v>
                  </c:pt>
                  <c:pt idx="156">
                    <c:v>3.1474640979271183E-2</c:v>
                  </c:pt>
                  <c:pt idx="157">
                    <c:v>1.3868866505368701E-2</c:v>
                  </c:pt>
                  <c:pt idx="158">
                    <c:v>1.179357393996594E-2</c:v>
                  </c:pt>
                  <c:pt idx="159">
                    <c:v>1.71285786245855E-3</c:v>
                  </c:pt>
                  <c:pt idx="160">
                    <c:v>2.174052856136708E-2</c:v>
                  </c:pt>
                  <c:pt idx="161">
                    <c:v>2.6975937400583992E-2</c:v>
                  </c:pt>
                  <c:pt idx="162">
                    <c:v>1.818278693797035E-2</c:v>
                  </c:pt>
                  <c:pt idx="163">
                    <c:v>2.900922766400655E-2</c:v>
                  </c:pt>
                  <c:pt idx="164">
                    <c:v>5.9655336236663907E-2</c:v>
                  </c:pt>
                  <c:pt idx="165">
                    <c:v>3.9033567499420621E-2</c:v>
                  </c:pt>
                  <c:pt idx="166">
                    <c:v>1.8752373116772272E-2</c:v>
                  </c:pt>
                  <c:pt idx="167">
                    <c:v>3.5291035476340358E-3</c:v>
                  </c:pt>
                  <c:pt idx="168">
                    <c:v>1.5687190190832478E-2</c:v>
                  </c:pt>
                  <c:pt idx="169">
                    <c:v>2.6721786500665749E-2</c:v>
                  </c:pt>
                  <c:pt idx="170">
                    <c:v>6.9204995629040172E-2</c:v>
                  </c:pt>
                  <c:pt idx="171">
                    <c:v>2.280240188453261E-2</c:v>
                  </c:pt>
                  <c:pt idx="172">
                    <c:v>2.0508951219114849E-2</c:v>
                  </c:pt>
                  <c:pt idx="173">
                    <c:v>1.1784762864275629E-2</c:v>
                  </c:pt>
                  <c:pt idx="174">
                    <c:v>6.4933533378179739E-2</c:v>
                  </c:pt>
                  <c:pt idx="175">
                    <c:v>5.0650981064293638E-2</c:v>
                  </c:pt>
                  <c:pt idx="176">
                    <c:v>3.7602993437686458E-2</c:v>
                  </c:pt>
                  <c:pt idx="177">
                    <c:v>1.4214580323430081E-2</c:v>
                  </c:pt>
                  <c:pt idx="178">
                    <c:v>1.316081368376611E-2</c:v>
                  </c:pt>
                  <c:pt idx="179">
                    <c:v>4.8721130998298237E-2</c:v>
                  </c:pt>
                  <c:pt idx="180">
                    <c:v>2.9618743120795401E-2</c:v>
                  </c:pt>
                  <c:pt idx="181">
                    <c:v>2.506965035899289E-2</c:v>
                  </c:pt>
                  <c:pt idx="182">
                    <c:v>8.6300508007277257E-3</c:v>
                  </c:pt>
                  <c:pt idx="183">
                    <c:v>7.3981459001744854E-3</c:v>
                  </c:pt>
                  <c:pt idx="184">
                    <c:v>1.691342001550105E-2</c:v>
                  </c:pt>
                  <c:pt idx="185">
                    <c:v>4.8760849036629458E-3</c:v>
                  </c:pt>
                  <c:pt idx="186">
                    <c:v>2.707809085233322E-3</c:v>
                  </c:pt>
                  <c:pt idx="187">
                    <c:v>1.8042976603181979E-2</c:v>
                  </c:pt>
                  <c:pt idx="188">
                    <c:v>1.6615342661960391E-2</c:v>
                  </c:pt>
                  <c:pt idx="189">
                    <c:v>2.2264469849430469E-2</c:v>
                  </c:pt>
                  <c:pt idx="190">
                    <c:v>3.343370308282935E-2</c:v>
                  </c:pt>
                  <c:pt idx="191">
                    <c:v>2.907263379726506E-2</c:v>
                  </c:pt>
                  <c:pt idx="192">
                    <c:v>1.8177135222527719E-2</c:v>
                  </c:pt>
                  <c:pt idx="193">
                    <c:v>4.2484549615113908E-2</c:v>
                  </c:pt>
                  <c:pt idx="194">
                    <c:v>1.17811873430172E-2</c:v>
                  </c:pt>
                  <c:pt idx="195">
                    <c:v>1.131025301858081E-2</c:v>
                  </c:pt>
                  <c:pt idx="196">
                    <c:v>4.2781325898821332E-2</c:v>
                  </c:pt>
                  <c:pt idx="197">
                    <c:v>4.5211924668851697E-3</c:v>
                  </c:pt>
                  <c:pt idx="198">
                    <c:v>9.5605703641822148E-3</c:v>
                  </c:pt>
                  <c:pt idx="199">
                    <c:v>9.1988579553878291E-3</c:v>
                  </c:pt>
                  <c:pt idx="200">
                    <c:v>1.587349930252108E-2</c:v>
                  </c:pt>
                  <c:pt idx="201">
                    <c:v>2.525022903617799E-2</c:v>
                  </c:pt>
                  <c:pt idx="202">
                    <c:v>2.3663241993457249E-2</c:v>
                  </c:pt>
                  <c:pt idx="203">
                    <c:v>2.3134473714520931E-2</c:v>
                  </c:pt>
                  <c:pt idx="204">
                    <c:v>1.506848913820889E-2</c:v>
                  </c:pt>
                  <c:pt idx="205">
                    <c:v>1.143159412873271E-2</c:v>
                  </c:pt>
                  <c:pt idx="206">
                    <c:v>1.9001075258906871E-2</c:v>
                  </c:pt>
                  <c:pt idx="207">
                    <c:v>6.9017806248203042E-2</c:v>
                  </c:pt>
                  <c:pt idx="208">
                    <c:v>4.7298935409920383E-2</c:v>
                  </c:pt>
                  <c:pt idx="209">
                    <c:v>5.7828349013787042E-2</c:v>
                  </c:pt>
                  <c:pt idx="210">
                    <c:v>8.6987900905289503E-3</c:v>
                  </c:pt>
                  <c:pt idx="211">
                    <c:v>3.0496499881497049E-2</c:v>
                  </c:pt>
                  <c:pt idx="212">
                    <c:v>2.4473382732565632E-2</c:v>
                  </c:pt>
                  <c:pt idx="213">
                    <c:v>1.0064982028219789E-2</c:v>
                  </c:pt>
                  <c:pt idx="214">
                    <c:v>4.8001454944511879E-3</c:v>
                  </c:pt>
                  <c:pt idx="215">
                    <c:v>1.332244245154578E-2</c:v>
                  </c:pt>
                  <c:pt idx="216">
                    <c:v>1.1695610224717899E-2</c:v>
                  </c:pt>
                  <c:pt idx="217">
                    <c:v>4.74797710305657E-2</c:v>
                  </c:pt>
                  <c:pt idx="218">
                    <c:v>1.113608703623724E-2</c:v>
                  </c:pt>
                  <c:pt idx="219">
                    <c:v>1.69596309473302E-2</c:v>
                  </c:pt>
                  <c:pt idx="220">
                    <c:v>2.2845418260648349E-2</c:v>
                  </c:pt>
                  <c:pt idx="221">
                    <c:v>1.5464271200114829E-2</c:v>
                  </c:pt>
                  <c:pt idx="222">
                    <c:v>1.7885523533009779E-2</c:v>
                  </c:pt>
                  <c:pt idx="223">
                    <c:v>9.6892921738277182E-3</c:v>
                  </c:pt>
                  <c:pt idx="224">
                    <c:v>1.2647578465889301E-2</c:v>
                  </c:pt>
                  <c:pt idx="225">
                    <c:v>5.0158482010055343E-2</c:v>
                  </c:pt>
                  <c:pt idx="226">
                    <c:v>7.9809867064142472E-3</c:v>
                  </c:pt>
                  <c:pt idx="227">
                    <c:v>8.3627670827392201E-3</c:v>
                  </c:pt>
                  <c:pt idx="228">
                    <c:v>4.1372348498160526E-3</c:v>
                  </c:pt>
                  <c:pt idx="229">
                    <c:v>9.804417129259918E-3</c:v>
                  </c:pt>
                  <c:pt idx="230">
                    <c:v>5.7041708547224436E-3</c:v>
                  </c:pt>
                  <c:pt idx="231">
                    <c:v>1.0547354311653699E-2</c:v>
                  </c:pt>
                  <c:pt idx="232">
                    <c:v>8.0344778856528097E-3</c:v>
                  </c:pt>
                  <c:pt idx="233">
                    <c:v>1.1206178661602941E-3</c:v>
                  </c:pt>
                  <c:pt idx="234">
                    <c:v>7.2485518527023287E-3</c:v>
                  </c:pt>
                  <c:pt idx="235">
                    <c:v>1.110437647602935E-2</c:v>
                  </c:pt>
                  <c:pt idx="236">
                    <c:v>1.973387115321289E-2</c:v>
                  </c:pt>
                  <c:pt idx="237">
                    <c:v>8.627212189699144E-3</c:v>
                  </c:pt>
                  <c:pt idx="238">
                    <c:v>3.475350910985729E-3</c:v>
                  </c:pt>
                  <c:pt idx="239">
                    <c:v>1.2000120284374071E-2</c:v>
                  </c:pt>
                  <c:pt idx="240">
                    <c:v>1.0859443940033501E-2</c:v>
                  </c:pt>
                  <c:pt idx="241">
                    <c:v>8.0383961106445054E-3</c:v>
                  </c:pt>
                  <c:pt idx="242">
                    <c:v>1.4879915179845561E-2</c:v>
                  </c:pt>
                  <c:pt idx="243">
                    <c:v>1.842754707235621E-2</c:v>
                  </c:pt>
                  <c:pt idx="244">
                    <c:v>1.258393900823975E-2</c:v>
                  </c:pt>
                  <c:pt idx="245">
                    <c:v>5.0139398197657338E-3</c:v>
                  </c:pt>
                  <c:pt idx="246">
                    <c:v>6.3275101071999483E-3</c:v>
                  </c:pt>
                  <c:pt idx="247">
                    <c:v>1.1378822275583371E-2</c:v>
                  </c:pt>
                  <c:pt idx="248">
                    <c:v>1.023626291855686E-2</c:v>
                  </c:pt>
                  <c:pt idx="249">
                    <c:v>1.380503741031845E-2</c:v>
                  </c:pt>
                  <c:pt idx="250">
                    <c:v>2.7814237008842599E-2</c:v>
                  </c:pt>
                  <c:pt idx="251">
                    <c:v>1.673274890556356E-2</c:v>
                  </c:pt>
                  <c:pt idx="252">
                    <c:v>1.8364956486012898E-2</c:v>
                  </c:pt>
                  <c:pt idx="253">
                    <c:v>3.616756545709547E-3</c:v>
                  </c:pt>
                  <c:pt idx="254">
                    <c:v>3.5082964863473211E-3</c:v>
                  </c:pt>
                  <c:pt idx="255">
                    <c:v>2.1756858074113549E-2</c:v>
                  </c:pt>
                  <c:pt idx="256">
                    <c:v>1.313104471388063E-2</c:v>
                  </c:pt>
                  <c:pt idx="257">
                    <c:v>2.0954857652002341E-2</c:v>
                  </c:pt>
                  <c:pt idx="258">
                    <c:v>1.521925594576529E-2</c:v>
                  </c:pt>
                  <c:pt idx="259">
                    <c:v>2.804833040549526E-3</c:v>
                  </c:pt>
                  <c:pt idx="260">
                    <c:v>1.9011686932792531E-2</c:v>
                  </c:pt>
                  <c:pt idx="261">
                    <c:v>1.400625161751482E-2</c:v>
                  </c:pt>
                  <c:pt idx="262">
                    <c:v>3.2692385847942502E-3</c:v>
                  </c:pt>
                  <c:pt idx="263">
                    <c:v>1.4008520091643909E-2</c:v>
                  </c:pt>
                  <c:pt idx="264">
                    <c:v>2.8869069467000959E-2</c:v>
                  </c:pt>
                  <c:pt idx="265">
                    <c:v>3.4522846019748011E-3</c:v>
                  </c:pt>
                  <c:pt idx="266">
                    <c:v>3.8374144128932218E-2</c:v>
                  </c:pt>
                  <c:pt idx="267">
                    <c:v>3.6814286787609743E-2</c:v>
                  </c:pt>
                  <c:pt idx="268">
                    <c:v>3.1846371835477387E-2</c:v>
                  </c:pt>
                  <c:pt idx="269">
                    <c:v>9.3034962368885987E-3</c:v>
                  </c:pt>
                  <c:pt idx="270">
                    <c:v>1.42262375708025E-2</c:v>
                  </c:pt>
                  <c:pt idx="271">
                    <c:v>4.4098474870327309E-2</c:v>
                  </c:pt>
                  <c:pt idx="272">
                    <c:v>1.8611389843146049E-2</c:v>
                  </c:pt>
                  <c:pt idx="273">
                    <c:v>1.752340028688552E-2</c:v>
                  </c:pt>
                  <c:pt idx="274">
                    <c:v>3.2320943971148812E-2</c:v>
                  </c:pt>
                  <c:pt idx="275">
                    <c:v>5.1345086589084481E-3</c:v>
                  </c:pt>
                  <c:pt idx="276">
                    <c:v>6.6835276886838241E-2</c:v>
                  </c:pt>
                  <c:pt idx="277">
                    <c:v>4.3776319021094613E-2</c:v>
                  </c:pt>
                  <c:pt idx="278">
                    <c:v>3.564509227167733E-2</c:v>
                  </c:pt>
                  <c:pt idx="279">
                    <c:v>1.5037073205719309E-3</c:v>
                  </c:pt>
                </c:numCache>
              </c:numRef>
            </c:plus>
            <c:minus>
              <c:numRef>
                <c:f>'Paul dataset'!$AE$2:$AE$281</c:f>
                <c:numCache>
                  <c:formatCode>General</c:formatCode>
                  <c:ptCount val="280"/>
                  <c:pt idx="0">
                    <c:v>1.294272130234661E-2</c:v>
                  </c:pt>
                  <c:pt idx="1">
                    <c:v>0.13564968058771079</c:v>
                  </c:pt>
                  <c:pt idx="2">
                    <c:v>2.036184534790964E-3</c:v>
                  </c:pt>
                  <c:pt idx="3">
                    <c:v>2.5993188017183928E-2</c:v>
                  </c:pt>
                  <c:pt idx="4">
                    <c:v>7.9847201489404197E-3</c:v>
                  </c:pt>
                  <c:pt idx="5">
                    <c:v>8.3358417933041972E-4</c:v>
                  </c:pt>
                  <c:pt idx="6">
                    <c:v>7.450924975955997E-2</c:v>
                  </c:pt>
                  <c:pt idx="7">
                    <c:v>9.9051471933741999E-3</c:v>
                  </c:pt>
                  <c:pt idx="8">
                    <c:v>1.279854830003236E-2</c:v>
                  </c:pt>
                  <c:pt idx="9">
                    <c:v>7.6625200412675551E-2</c:v>
                  </c:pt>
                  <c:pt idx="10">
                    <c:v>2.0821699580131181E-3</c:v>
                  </c:pt>
                  <c:pt idx="11">
                    <c:v>2.6038343250464141E-2</c:v>
                  </c:pt>
                  <c:pt idx="12">
                    <c:v>4.4452682561833979E-3</c:v>
                  </c:pt>
                  <c:pt idx="13">
                    <c:v>7.2754748017715212E-3</c:v>
                  </c:pt>
                  <c:pt idx="14">
                    <c:v>7.7279653570898983E-3</c:v>
                  </c:pt>
                  <c:pt idx="15">
                    <c:v>9.8694181004846913E-3</c:v>
                  </c:pt>
                  <c:pt idx="16">
                    <c:v>8.8868664621583552E-3</c:v>
                  </c:pt>
                  <c:pt idx="17">
                    <c:v>2.356014299132036E-3</c:v>
                  </c:pt>
                  <c:pt idx="18">
                    <c:v>1.996712324977687E-3</c:v>
                  </c:pt>
                  <c:pt idx="19">
                    <c:v>8.2142811712026149E-3</c:v>
                  </c:pt>
                  <c:pt idx="20">
                    <c:v>5.8936630547841134E-3</c:v>
                  </c:pt>
                  <c:pt idx="21">
                    <c:v>1.5457630803294761E-2</c:v>
                  </c:pt>
                  <c:pt idx="22">
                    <c:v>1.545054726564961E-2</c:v>
                  </c:pt>
                  <c:pt idx="23">
                    <c:v>0.1095793548520949</c:v>
                  </c:pt>
                  <c:pt idx="24">
                    <c:v>1.5412690854560329E-3</c:v>
                  </c:pt>
                  <c:pt idx="25">
                    <c:v>8.3843310799998863E-2</c:v>
                  </c:pt>
                  <c:pt idx="26">
                    <c:v>9.9003637157663894E-3</c:v>
                  </c:pt>
                  <c:pt idx="27">
                    <c:v>1.6483084154857709E-2</c:v>
                  </c:pt>
                  <c:pt idx="28">
                    <c:v>1.0982166216606699E-2</c:v>
                  </c:pt>
                  <c:pt idx="29">
                    <c:v>2.6390732279320581E-2</c:v>
                  </c:pt>
                  <c:pt idx="30">
                    <c:v>1.4773616102523609E-2</c:v>
                  </c:pt>
                  <c:pt idx="31">
                    <c:v>4.8683894411408824E-3</c:v>
                  </c:pt>
                  <c:pt idx="32">
                    <c:v>2.527678793962157E-2</c:v>
                  </c:pt>
                  <c:pt idx="33">
                    <c:v>8.5253542053357802E-3</c:v>
                  </c:pt>
                  <c:pt idx="34">
                    <c:v>4.4276436015314749E-4</c:v>
                  </c:pt>
                  <c:pt idx="35">
                    <c:v>2.217291393649267E-3</c:v>
                  </c:pt>
                  <c:pt idx="36">
                    <c:v>1.30730254302091E-2</c:v>
                  </c:pt>
                  <c:pt idx="37">
                    <c:v>1.025669759223596E-2</c:v>
                  </c:pt>
                  <c:pt idx="38">
                    <c:v>5.0689870632973427E-3</c:v>
                  </c:pt>
                  <c:pt idx="39">
                    <c:v>7.9816260917613055E-2</c:v>
                  </c:pt>
                  <c:pt idx="40">
                    <c:v>1.0012592683189109E-3</c:v>
                  </c:pt>
                  <c:pt idx="41">
                    <c:v>5.5996708174201491E-3</c:v>
                  </c:pt>
                  <c:pt idx="42">
                    <c:v>2.7564668502500549E-2</c:v>
                  </c:pt>
                  <c:pt idx="43">
                    <c:v>3.5037783085195069E-2</c:v>
                  </c:pt>
                  <c:pt idx="44">
                    <c:v>1.3959576260723741E-2</c:v>
                  </c:pt>
                  <c:pt idx="45">
                    <c:v>2.1071891910074959E-2</c:v>
                  </c:pt>
                  <c:pt idx="46">
                    <c:v>7.200705410837587E-3</c:v>
                  </c:pt>
                  <c:pt idx="47">
                    <c:v>3.675476643343879E-3</c:v>
                  </c:pt>
                  <c:pt idx="48">
                    <c:v>2.4140816560313309E-2</c:v>
                  </c:pt>
                  <c:pt idx="49">
                    <c:v>1.239287752952432E-2</c:v>
                  </c:pt>
                  <c:pt idx="50">
                    <c:v>1.6749806865949901E-2</c:v>
                  </c:pt>
                  <c:pt idx="51">
                    <c:v>7.4351753328947808E-3</c:v>
                  </c:pt>
                  <c:pt idx="52">
                    <c:v>5.6348969423995711E-3</c:v>
                  </c:pt>
                  <c:pt idx="53">
                    <c:v>1.7024806801462612E-2</c:v>
                  </c:pt>
                  <c:pt idx="54">
                    <c:v>1.4426317800383099E-2</c:v>
                  </c:pt>
                  <c:pt idx="55">
                    <c:v>7.9230982780971338E-3</c:v>
                  </c:pt>
                  <c:pt idx="56">
                    <c:v>4.8842084080157992E-3</c:v>
                  </c:pt>
                  <c:pt idx="57">
                    <c:v>4.5110369876273987E-3</c:v>
                  </c:pt>
                  <c:pt idx="58">
                    <c:v>4.6622578129600313E-3</c:v>
                  </c:pt>
                  <c:pt idx="59">
                    <c:v>5.7174241468143519E-3</c:v>
                  </c:pt>
                  <c:pt idx="60">
                    <c:v>1.268026751280985E-2</c:v>
                  </c:pt>
                  <c:pt idx="61">
                    <c:v>2.2807897106579222E-2</c:v>
                  </c:pt>
                  <c:pt idx="62">
                    <c:v>6.6612852950861407E-3</c:v>
                  </c:pt>
                  <c:pt idx="63">
                    <c:v>4.6090906849450084E-3</c:v>
                  </c:pt>
                  <c:pt idx="64">
                    <c:v>0.13465811620461449</c:v>
                  </c:pt>
                  <c:pt idx="65">
                    <c:v>3.428724596226021E-2</c:v>
                  </c:pt>
                  <c:pt idx="66">
                    <c:v>1.082459485920721E-2</c:v>
                  </c:pt>
                  <c:pt idx="67">
                    <c:v>1.0309744026150799E-2</c:v>
                  </c:pt>
                  <c:pt idx="68">
                    <c:v>1.8647182097790319E-2</c:v>
                  </c:pt>
                  <c:pt idx="69">
                    <c:v>2.2908287225334941E-2</c:v>
                  </c:pt>
                  <c:pt idx="70">
                    <c:v>3.9700339843523362E-3</c:v>
                  </c:pt>
                  <c:pt idx="71">
                    <c:v>8.8015052671100522E-3</c:v>
                  </c:pt>
                  <c:pt idx="72">
                    <c:v>5.8426504836833206E-4</c:v>
                  </c:pt>
                  <c:pt idx="73">
                    <c:v>3.4768403087800251E-3</c:v>
                  </c:pt>
                  <c:pt idx="74">
                    <c:v>7.6645624894044516E-3</c:v>
                  </c:pt>
                  <c:pt idx="75">
                    <c:v>1.0539073370809121E-2</c:v>
                  </c:pt>
                  <c:pt idx="76">
                    <c:v>1.253065730196808E-3</c:v>
                  </c:pt>
                  <c:pt idx="77">
                    <c:v>7.9876469566824305E-3</c:v>
                  </c:pt>
                  <c:pt idx="78">
                    <c:v>1.3037028380568001E-3</c:v>
                  </c:pt>
                  <c:pt idx="79">
                    <c:v>2.5050274942234299E-3</c:v>
                  </c:pt>
                  <c:pt idx="80">
                    <c:v>5.4131337241158546E-3</c:v>
                  </c:pt>
                  <c:pt idx="81">
                    <c:v>1.0548028526300379E-2</c:v>
                  </c:pt>
                  <c:pt idx="82">
                    <c:v>8.3570130085490121E-3</c:v>
                  </c:pt>
                  <c:pt idx="83">
                    <c:v>1.0867550787295991E-2</c:v>
                  </c:pt>
                  <c:pt idx="84">
                    <c:v>6.1023433734117916E-3</c:v>
                  </c:pt>
                  <c:pt idx="85">
                    <c:v>1.0594244265274321E-3</c:v>
                  </c:pt>
                  <c:pt idx="86">
                    <c:v>1.861205107463319E-2</c:v>
                  </c:pt>
                  <c:pt idx="87">
                    <c:v>5.8191112966586144E-3</c:v>
                  </c:pt>
                  <c:pt idx="88">
                    <c:v>1.7191590218186718E-2</c:v>
                  </c:pt>
                  <c:pt idx="89">
                    <c:v>9.7612671309064123E-4</c:v>
                  </c:pt>
                  <c:pt idx="90">
                    <c:v>7.9913216928039314E-3</c:v>
                  </c:pt>
                  <c:pt idx="91">
                    <c:v>3.889109908174722E-3</c:v>
                  </c:pt>
                  <c:pt idx="92">
                    <c:v>7.5839128856669486E-3</c:v>
                  </c:pt>
                  <c:pt idx="93">
                    <c:v>1.2617656079738819E-3</c:v>
                  </c:pt>
                  <c:pt idx="94">
                    <c:v>1.14185235790685E-3</c:v>
                  </c:pt>
                  <c:pt idx="95">
                    <c:v>6.5188749716355073E-3</c:v>
                  </c:pt>
                  <c:pt idx="96">
                    <c:v>2.2318452511214939E-3</c:v>
                  </c:pt>
                  <c:pt idx="97">
                    <c:v>2.008972535661974E-2</c:v>
                  </c:pt>
                  <c:pt idx="98">
                    <c:v>3.1432604308156459E-3</c:v>
                  </c:pt>
                  <c:pt idx="99">
                    <c:v>2.0999593922924061E-2</c:v>
                  </c:pt>
                  <c:pt idx="100">
                    <c:v>4.8603070810243933E-3</c:v>
                  </c:pt>
                  <c:pt idx="101">
                    <c:v>2.1054633707947778E-3</c:v>
                  </c:pt>
                  <c:pt idx="102">
                    <c:v>7.7382065490691748E-3</c:v>
                  </c:pt>
                  <c:pt idx="103">
                    <c:v>4.3636082225206223E-3</c:v>
                  </c:pt>
                  <c:pt idx="104">
                    <c:v>2.997222992303717E-3</c:v>
                  </c:pt>
                  <c:pt idx="105">
                    <c:v>1.9966591062924839E-3</c:v>
                  </c:pt>
                  <c:pt idx="106">
                    <c:v>2.391403548404538E-2</c:v>
                  </c:pt>
                  <c:pt idx="107">
                    <c:v>1.5172200397242661E-3</c:v>
                  </c:pt>
                  <c:pt idx="108">
                    <c:v>1.43344168732317E-2</c:v>
                  </c:pt>
                  <c:pt idx="109">
                    <c:v>4.549722821809263E-3</c:v>
                  </c:pt>
                  <c:pt idx="110">
                    <c:v>4.9684040093986763E-3</c:v>
                  </c:pt>
                  <c:pt idx="111">
                    <c:v>4.6185748684066828E-3</c:v>
                  </c:pt>
                  <c:pt idx="112">
                    <c:v>3.5391291986445257E-2</c:v>
                  </c:pt>
                  <c:pt idx="113">
                    <c:v>5.1552723590308257E-3</c:v>
                  </c:pt>
                  <c:pt idx="114">
                    <c:v>3.8137878283688489E-2</c:v>
                  </c:pt>
                  <c:pt idx="115">
                    <c:v>2.6328187804412948E-3</c:v>
                  </c:pt>
                  <c:pt idx="116">
                    <c:v>1.8800045979499851E-2</c:v>
                  </c:pt>
                  <c:pt idx="117">
                    <c:v>5.6408252427047709E-2</c:v>
                  </c:pt>
                  <c:pt idx="118">
                    <c:v>7.5193766450612504E-3</c:v>
                  </c:pt>
                  <c:pt idx="119">
                    <c:v>1.9891376971380541E-2</c:v>
                  </c:pt>
                  <c:pt idx="120">
                    <c:v>3.478291588400436E-2</c:v>
                  </c:pt>
                  <c:pt idx="121">
                    <c:v>5.7141767520572082E-2</c:v>
                  </c:pt>
                  <c:pt idx="122">
                    <c:v>3.1540557466290318E-3</c:v>
                  </c:pt>
                  <c:pt idx="123">
                    <c:v>3.2886241146487961E-3</c:v>
                  </c:pt>
                  <c:pt idx="124">
                    <c:v>2.7955393491889912E-3</c:v>
                  </c:pt>
                  <c:pt idx="125">
                    <c:v>1.434613613419675E-2</c:v>
                  </c:pt>
                  <c:pt idx="126">
                    <c:v>4.7617102736222383E-3</c:v>
                  </c:pt>
                  <c:pt idx="127">
                    <c:v>1.00292724225162E-2</c:v>
                  </c:pt>
                  <c:pt idx="128">
                    <c:v>1.0959715520701369E-2</c:v>
                  </c:pt>
                  <c:pt idx="129">
                    <c:v>5.201109430586915E-2</c:v>
                  </c:pt>
                  <c:pt idx="130">
                    <c:v>1.596238906689508E-2</c:v>
                  </c:pt>
                  <c:pt idx="131">
                    <c:v>5.4052229013784444E-3</c:v>
                  </c:pt>
                  <c:pt idx="132">
                    <c:v>2.9600093819201059E-2</c:v>
                  </c:pt>
                  <c:pt idx="133">
                    <c:v>3.0703944482479682E-2</c:v>
                  </c:pt>
                  <c:pt idx="134">
                    <c:v>4.2843730899831567E-2</c:v>
                  </c:pt>
                  <c:pt idx="135">
                    <c:v>2.195615167210585E-2</c:v>
                  </c:pt>
                  <c:pt idx="136">
                    <c:v>1.2068605580688729E-2</c:v>
                  </c:pt>
                  <c:pt idx="137">
                    <c:v>6.8565330153830539E-2</c:v>
                  </c:pt>
                  <c:pt idx="138">
                    <c:v>1.9711639632541501E-2</c:v>
                  </c:pt>
                  <c:pt idx="139">
                    <c:v>1.5042595441486161E-2</c:v>
                  </c:pt>
                  <c:pt idx="140">
                    <c:v>2.280717791957405E-2</c:v>
                  </c:pt>
                  <c:pt idx="141">
                    <c:v>6.3001400870721355E-2</c:v>
                  </c:pt>
                  <c:pt idx="142">
                    <c:v>1.784092842334572E-3</c:v>
                  </c:pt>
                  <c:pt idx="143">
                    <c:v>2.341325267664297E-2</c:v>
                  </c:pt>
                  <c:pt idx="144">
                    <c:v>3.6606054444857259E-3</c:v>
                  </c:pt>
                  <c:pt idx="145">
                    <c:v>6.9406696631654288E-3</c:v>
                  </c:pt>
                  <c:pt idx="146">
                    <c:v>2.0826000064980432E-2</c:v>
                  </c:pt>
                  <c:pt idx="147">
                    <c:v>4.7540289840916371E-2</c:v>
                  </c:pt>
                  <c:pt idx="148">
                    <c:v>1.9356047120482351E-2</c:v>
                  </c:pt>
                  <c:pt idx="149">
                    <c:v>5.4006589267368198E-2</c:v>
                  </c:pt>
                  <c:pt idx="150">
                    <c:v>1.027008251534612E-2</c:v>
                  </c:pt>
                  <c:pt idx="151">
                    <c:v>3.0725218456701429E-2</c:v>
                  </c:pt>
                  <c:pt idx="152">
                    <c:v>2.5577205187964681E-2</c:v>
                  </c:pt>
                  <c:pt idx="153">
                    <c:v>9.4266062615136134E-3</c:v>
                  </c:pt>
                  <c:pt idx="154">
                    <c:v>1.0900394773784121E-2</c:v>
                  </c:pt>
                  <c:pt idx="155">
                    <c:v>1.983623309944647E-2</c:v>
                  </c:pt>
                  <c:pt idx="156">
                    <c:v>3.1474640979271183E-2</c:v>
                  </c:pt>
                  <c:pt idx="157">
                    <c:v>1.3868866505368701E-2</c:v>
                  </c:pt>
                  <c:pt idx="158">
                    <c:v>1.179357393996594E-2</c:v>
                  </c:pt>
                  <c:pt idx="159">
                    <c:v>1.71285786245855E-3</c:v>
                  </c:pt>
                  <c:pt idx="160">
                    <c:v>2.174052856136708E-2</c:v>
                  </c:pt>
                  <c:pt idx="161">
                    <c:v>2.6975937400583992E-2</c:v>
                  </c:pt>
                  <c:pt idx="162">
                    <c:v>1.818278693797035E-2</c:v>
                  </c:pt>
                  <c:pt idx="163">
                    <c:v>2.900922766400655E-2</c:v>
                  </c:pt>
                  <c:pt idx="164">
                    <c:v>5.9655336236663907E-2</c:v>
                  </c:pt>
                  <c:pt idx="165">
                    <c:v>3.9033567499420621E-2</c:v>
                  </c:pt>
                  <c:pt idx="166">
                    <c:v>1.8752373116772272E-2</c:v>
                  </c:pt>
                  <c:pt idx="167">
                    <c:v>3.5291035476340358E-3</c:v>
                  </c:pt>
                  <c:pt idx="168">
                    <c:v>1.5687190190832478E-2</c:v>
                  </c:pt>
                  <c:pt idx="169">
                    <c:v>2.6721786500665749E-2</c:v>
                  </c:pt>
                  <c:pt idx="170">
                    <c:v>6.9204995629040172E-2</c:v>
                  </c:pt>
                  <c:pt idx="171">
                    <c:v>2.280240188453261E-2</c:v>
                  </c:pt>
                  <c:pt idx="172">
                    <c:v>2.0508951219114849E-2</c:v>
                  </c:pt>
                  <c:pt idx="173">
                    <c:v>1.1784762864275629E-2</c:v>
                  </c:pt>
                  <c:pt idx="174">
                    <c:v>6.4933533378179739E-2</c:v>
                  </c:pt>
                  <c:pt idx="175">
                    <c:v>5.0650981064293638E-2</c:v>
                  </c:pt>
                  <c:pt idx="176">
                    <c:v>3.7602993437686458E-2</c:v>
                  </c:pt>
                  <c:pt idx="177">
                    <c:v>1.4214580323430081E-2</c:v>
                  </c:pt>
                  <c:pt idx="178">
                    <c:v>1.316081368376611E-2</c:v>
                  </c:pt>
                  <c:pt idx="179">
                    <c:v>4.8721130998298237E-2</c:v>
                  </c:pt>
                  <c:pt idx="180">
                    <c:v>2.9618743120795401E-2</c:v>
                  </c:pt>
                  <c:pt idx="181">
                    <c:v>2.506965035899289E-2</c:v>
                  </c:pt>
                  <c:pt idx="182">
                    <c:v>8.6300508007277257E-3</c:v>
                  </c:pt>
                  <c:pt idx="183">
                    <c:v>7.3981459001744854E-3</c:v>
                  </c:pt>
                  <c:pt idx="184">
                    <c:v>1.691342001550105E-2</c:v>
                  </c:pt>
                  <c:pt idx="185">
                    <c:v>4.8760849036629458E-3</c:v>
                  </c:pt>
                  <c:pt idx="186">
                    <c:v>2.707809085233322E-3</c:v>
                  </c:pt>
                  <c:pt idx="187">
                    <c:v>1.8042976603181979E-2</c:v>
                  </c:pt>
                  <c:pt idx="188">
                    <c:v>1.6615342661960391E-2</c:v>
                  </c:pt>
                  <c:pt idx="189">
                    <c:v>2.2264469849430469E-2</c:v>
                  </c:pt>
                  <c:pt idx="190">
                    <c:v>3.343370308282935E-2</c:v>
                  </c:pt>
                  <c:pt idx="191">
                    <c:v>2.907263379726506E-2</c:v>
                  </c:pt>
                  <c:pt idx="192">
                    <c:v>1.8177135222527719E-2</c:v>
                  </c:pt>
                  <c:pt idx="193">
                    <c:v>4.2484549615113908E-2</c:v>
                  </c:pt>
                  <c:pt idx="194">
                    <c:v>1.17811873430172E-2</c:v>
                  </c:pt>
                  <c:pt idx="195">
                    <c:v>1.131025301858081E-2</c:v>
                  </c:pt>
                  <c:pt idx="196">
                    <c:v>4.2781325898821332E-2</c:v>
                  </c:pt>
                  <c:pt idx="197">
                    <c:v>4.5211924668851697E-3</c:v>
                  </c:pt>
                  <c:pt idx="198">
                    <c:v>9.5605703641822148E-3</c:v>
                  </c:pt>
                  <c:pt idx="199">
                    <c:v>9.1988579553878291E-3</c:v>
                  </c:pt>
                  <c:pt idx="200">
                    <c:v>1.587349930252108E-2</c:v>
                  </c:pt>
                  <c:pt idx="201">
                    <c:v>2.525022903617799E-2</c:v>
                  </c:pt>
                  <c:pt idx="202">
                    <c:v>2.3663241993457249E-2</c:v>
                  </c:pt>
                  <c:pt idx="203">
                    <c:v>2.3134473714520931E-2</c:v>
                  </c:pt>
                  <c:pt idx="204">
                    <c:v>1.506848913820889E-2</c:v>
                  </c:pt>
                  <c:pt idx="205">
                    <c:v>1.143159412873271E-2</c:v>
                  </c:pt>
                  <c:pt idx="206">
                    <c:v>1.9001075258906871E-2</c:v>
                  </c:pt>
                  <c:pt idx="207">
                    <c:v>6.9017806248203042E-2</c:v>
                  </c:pt>
                  <c:pt idx="208">
                    <c:v>4.7298935409920383E-2</c:v>
                  </c:pt>
                  <c:pt idx="209">
                    <c:v>5.7828349013787042E-2</c:v>
                  </c:pt>
                  <c:pt idx="210">
                    <c:v>8.6987900905289503E-3</c:v>
                  </c:pt>
                  <c:pt idx="211">
                    <c:v>3.0496499881497049E-2</c:v>
                  </c:pt>
                  <c:pt idx="212">
                    <c:v>2.4473382732565632E-2</c:v>
                  </c:pt>
                  <c:pt idx="213">
                    <c:v>1.0064982028219789E-2</c:v>
                  </c:pt>
                  <c:pt idx="214">
                    <c:v>4.8001454944511879E-3</c:v>
                  </c:pt>
                  <c:pt idx="215">
                    <c:v>1.332244245154578E-2</c:v>
                  </c:pt>
                  <c:pt idx="216">
                    <c:v>1.1695610224717899E-2</c:v>
                  </c:pt>
                  <c:pt idx="217">
                    <c:v>4.74797710305657E-2</c:v>
                  </c:pt>
                  <c:pt idx="218">
                    <c:v>1.113608703623724E-2</c:v>
                  </c:pt>
                  <c:pt idx="219">
                    <c:v>1.69596309473302E-2</c:v>
                  </c:pt>
                  <c:pt idx="220">
                    <c:v>2.2845418260648349E-2</c:v>
                  </c:pt>
                  <c:pt idx="221">
                    <c:v>1.5464271200114829E-2</c:v>
                  </c:pt>
                  <c:pt idx="222">
                    <c:v>1.7885523533009779E-2</c:v>
                  </c:pt>
                  <c:pt idx="223">
                    <c:v>9.6892921738277182E-3</c:v>
                  </c:pt>
                  <c:pt idx="224">
                    <c:v>1.2647578465889301E-2</c:v>
                  </c:pt>
                  <c:pt idx="225">
                    <c:v>5.0158482010055343E-2</c:v>
                  </c:pt>
                  <c:pt idx="226">
                    <c:v>7.9809867064142472E-3</c:v>
                  </c:pt>
                  <c:pt idx="227">
                    <c:v>8.3627670827392201E-3</c:v>
                  </c:pt>
                  <c:pt idx="228">
                    <c:v>4.1372348498160526E-3</c:v>
                  </c:pt>
                  <c:pt idx="229">
                    <c:v>9.804417129259918E-3</c:v>
                  </c:pt>
                  <c:pt idx="230">
                    <c:v>5.7041708547224436E-3</c:v>
                  </c:pt>
                  <c:pt idx="231">
                    <c:v>1.0547354311653699E-2</c:v>
                  </c:pt>
                  <c:pt idx="232">
                    <c:v>8.0344778856528097E-3</c:v>
                  </c:pt>
                  <c:pt idx="233">
                    <c:v>1.1206178661602941E-3</c:v>
                  </c:pt>
                  <c:pt idx="234">
                    <c:v>7.2485518527023287E-3</c:v>
                  </c:pt>
                  <c:pt idx="235">
                    <c:v>1.110437647602935E-2</c:v>
                  </c:pt>
                  <c:pt idx="236">
                    <c:v>1.973387115321289E-2</c:v>
                  </c:pt>
                  <c:pt idx="237">
                    <c:v>8.627212189699144E-3</c:v>
                  </c:pt>
                  <c:pt idx="238">
                    <c:v>3.475350910985729E-3</c:v>
                  </c:pt>
                  <c:pt idx="239">
                    <c:v>1.2000120284374071E-2</c:v>
                  </c:pt>
                  <c:pt idx="240">
                    <c:v>1.0859443940033501E-2</c:v>
                  </c:pt>
                  <c:pt idx="241">
                    <c:v>8.0383961106445054E-3</c:v>
                  </c:pt>
                  <c:pt idx="242">
                    <c:v>1.4879915179845561E-2</c:v>
                  </c:pt>
                  <c:pt idx="243">
                    <c:v>1.842754707235621E-2</c:v>
                  </c:pt>
                  <c:pt idx="244">
                    <c:v>1.258393900823975E-2</c:v>
                  </c:pt>
                  <c:pt idx="245">
                    <c:v>5.0139398197657338E-3</c:v>
                  </c:pt>
                  <c:pt idx="246">
                    <c:v>6.3275101071999483E-3</c:v>
                  </c:pt>
                  <c:pt idx="247">
                    <c:v>1.1378822275583371E-2</c:v>
                  </c:pt>
                  <c:pt idx="248">
                    <c:v>1.023626291855686E-2</c:v>
                  </c:pt>
                  <c:pt idx="249">
                    <c:v>1.380503741031845E-2</c:v>
                  </c:pt>
                  <c:pt idx="250">
                    <c:v>2.7814237008842599E-2</c:v>
                  </c:pt>
                  <c:pt idx="251">
                    <c:v>1.673274890556356E-2</c:v>
                  </c:pt>
                  <c:pt idx="252">
                    <c:v>1.8364956486012898E-2</c:v>
                  </c:pt>
                  <c:pt idx="253">
                    <c:v>3.616756545709547E-3</c:v>
                  </c:pt>
                  <c:pt idx="254">
                    <c:v>3.5082964863473211E-3</c:v>
                  </c:pt>
                  <c:pt idx="255">
                    <c:v>2.1756858074113549E-2</c:v>
                  </c:pt>
                  <c:pt idx="256">
                    <c:v>1.313104471388063E-2</c:v>
                  </c:pt>
                  <c:pt idx="257">
                    <c:v>2.0954857652002341E-2</c:v>
                  </c:pt>
                  <c:pt idx="258">
                    <c:v>1.521925594576529E-2</c:v>
                  </c:pt>
                  <c:pt idx="259">
                    <c:v>2.804833040549526E-3</c:v>
                  </c:pt>
                  <c:pt idx="260">
                    <c:v>1.9011686932792531E-2</c:v>
                  </c:pt>
                  <c:pt idx="261">
                    <c:v>1.400625161751482E-2</c:v>
                  </c:pt>
                  <c:pt idx="262">
                    <c:v>3.2692385847942502E-3</c:v>
                  </c:pt>
                  <c:pt idx="263">
                    <c:v>1.4008520091643909E-2</c:v>
                  </c:pt>
                  <c:pt idx="264">
                    <c:v>2.8869069467000959E-2</c:v>
                  </c:pt>
                  <c:pt idx="265">
                    <c:v>3.4522846019748011E-3</c:v>
                  </c:pt>
                  <c:pt idx="266">
                    <c:v>3.8374144128932218E-2</c:v>
                  </c:pt>
                  <c:pt idx="267">
                    <c:v>3.6814286787609743E-2</c:v>
                  </c:pt>
                  <c:pt idx="268">
                    <c:v>3.1846371835477387E-2</c:v>
                  </c:pt>
                  <c:pt idx="269">
                    <c:v>9.3034962368885987E-3</c:v>
                  </c:pt>
                  <c:pt idx="270">
                    <c:v>1.42262375708025E-2</c:v>
                  </c:pt>
                  <c:pt idx="271">
                    <c:v>4.4098474870327309E-2</c:v>
                  </c:pt>
                  <c:pt idx="272">
                    <c:v>1.8611389843146049E-2</c:v>
                  </c:pt>
                  <c:pt idx="273">
                    <c:v>1.752340028688552E-2</c:v>
                  </c:pt>
                  <c:pt idx="274">
                    <c:v>3.2320943971148812E-2</c:v>
                  </c:pt>
                  <c:pt idx="275">
                    <c:v>5.1345086589084481E-3</c:v>
                  </c:pt>
                  <c:pt idx="276">
                    <c:v>6.6835276886838241E-2</c:v>
                  </c:pt>
                  <c:pt idx="277">
                    <c:v>4.3776319021094613E-2</c:v>
                  </c:pt>
                  <c:pt idx="278">
                    <c:v>3.564509227167733E-2</c:v>
                  </c:pt>
                  <c:pt idx="279">
                    <c:v>1.5037073205719309E-3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'Paul dataset'!$AD$2:$AD$281</c:f>
              <c:numCache>
                <c:formatCode>General</c:formatCode>
                <c:ptCount val="280"/>
                <c:pt idx="0">
                  <c:v>0.48833074579750868</c:v>
                </c:pt>
                <c:pt idx="1">
                  <c:v>1.046107859519753</c:v>
                </c:pt>
                <c:pt idx="2">
                  <c:v>0.50426770864142212</c:v>
                </c:pt>
                <c:pt idx="3">
                  <c:v>0.51014969327298154</c:v>
                </c:pt>
                <c:pt idx="4">
                  <c:v>0.61398404002864582</c:v>
                </c:pt>
                <c:pt idx="5">
                  <c:v>0.70099104932274758</c:v>
                </c:pt>
                <c:pt idx="6">
                  <c:v>0.8090858421189342</c:v>
                </c:pt>
                <c:pt idx="7">
                  <c:v>0.99257634240671322</c:v>
                </c:pt>
                <c:pt idx="8">
                  <c:v>0.66220015113446673</c:v>
                </c:pt>
                <c:pt idx="9">
                  <c:v>0.61553955184225317</c:v>
                </c:pt>
                <c:pt idx="10">
                  <c:v>0.64984438748385964</c:v>
                </c:pt>
                <c:pt idx="11">
                  <c:v>0.78046175667533335</c:v>
                </c:pt>
                <c:pt idx="12">
                  <c:v>0.56668748806397828</c:v>
                </c:pt>
                <c:pt idx="13">
                  <c:v>0.61833377633816888</c:v>
                </c:pt>
                <c:pt idx="14">
                  <c:v>0.69283823321435922</c:v>
                </c:pt>
                <c:pt idx="15">
                  <c:v>0.71449591853721695</c:v>
                </c:pt>
                <c:pt idx="16">
                  <c:v>0.81047235421136421</c:v>
                </c:pt>
                <c:pt idx="17">
                  <c:v>0.77539254520150536</c:v>
                </c:pt>
                <c:pt idx="18">
                  <c:v>0.89535173110766131</c:v>
                </c:pt>
                <c:pt idx="19">
                  <c:v>0.71727603293879927</c:v>
                </c:pt>
                <c:pt idx="20">
                  <c:v>0.79114492981941831</c:v>
                </c:pt>
                <c:pt idx="21">
                  <c:v>0.79328377247140092</c:v>
                </c:pt>
                <c:pt idx="22">
                  <c:v>0.73468166680242442</c:v>
                </c:pt>
                <c:pt idx="23">
                  <c:v>0.82911231565100518</c:v>
                </c:pt>
                <c:pt idx="24">
                  <c:v>0.67482654845865475</c:v>
                </c:pt>
                <c:pt idx="25">
                  <c:v>0.71249366801890412</c:v>
                </c:pt>
                <c:pt idx="26">
                  <c:v>0.51112711556377022</c:v>
                </c:pt>
                <c:pt idx="27">
                  <c:v>0.75422542448834473</c:v>
                </c:pt>
                <c:pt idx="28">
                  <c:v>0.69907952709136456</c:v>
                </c:pt>
                <c:pt idx="29">
                  <c:v>0.71728224953341591</c:v>
                </c:pt>
                <c:pt idx="30">
                  <c:v>0.59592276002590816</c:v>
                </c:pt>
                <c:pt idx="31">
                  <c:v>0.67468208153569986</c:v>
                </c:pt>
                <c:pt idx="32">
                  <c:v>0.69869659079569546</c:v>
                </c:pt>
                <c:pt idx="33">
                  <c:v>0.79235793636783725</c:v>
                </c:pt>
                <c:pt idx="34">
                  <c:v>0.52113947351589796</c:v>
                </c:pt>
                <c:pt idx="35">
                  <c:v>0.55643477779731154</c:v>
                </c:pt>
                <c:pt idx="36">
                  <c:v>0.58615225102100565</c:v>
                </c:pt>
                <c:pt idx="37">
                  <c:v>0.78318014552348014</c:v>
                </c:pt>
                <c:pt idx="38">
                  <c:v>0.65773305768043011</c:v>
                </c:pt>
                <c:pt idx="39">
                  <c:v>0.68204956172893105</c:v>
                </c:pt>
                <c:pt idx="40">
                  <c:v>0.54152652413788871</c:v>
                </c:pt>
                <c:pt idx="41">
                  <c:v>0.73787608397164428</c:v>
                </c:pt>
                <c:pt idx="42">
                  <c:v>0.69444711374250845</c:v>
                </c:pt>
                <c:pt idx="43">
                  <c:v>0.60710787104284336</c:v>
                </c:pt>
                <c:pt idx="44">
                  <c:v>0.66700465336745207</c:v>
                </c:pt>
                <c:pt idx="45">
                  <c:v>0.8006123698830433</c:v>
                </c:pt>
                <c:pt idx="46">
                  <c:v>0.60893044652887773</c:v>
                </c:pt>
                <c:pt idx="47">
                  <c:v>0.56876603187932173</c:v>
                </c:pt>
                <c:pt idx="48">
                  <c:v>0.6492149582239517</c:v>
                </c:pt>
                <c:pt idx="49">
                  <c:v>0.82241875028571443</c:v>
                </c:pt>
                <c:pt idx="50">
                  <c:v>0.70517928972271748</c:v>
                </c:pt>
                <c:pt idx="51">
                  <c:v>0.67634146914821469</c:v>
                </c:pt>
                <c:pt idx="52">
                  <c:v>0.67033160280138182</c:v>
                </c:pt>
                <c:pt idx="53">
                  <c:v>0.67856991381526321</c:v>
                </c:pt>
                <c:pt idx="54">
                  <c:v>0.55019158348179265</c:v>
                </c:pt>
                <c:pt idx="55">
                  <c:v>0.61675277301718301</c:v>
                </c:pt>
                <c:pt idx="56">
                  <c:v>0.6026146588475112</c:v>
                </c:pt>
                <c:pt idx="57">
                  <c:v>0.55740778332360708</c:v>
                </c:pt>
                <c:pt idx="58">
                  <c:v>0.51851755897715401</c:v>
                </c:pt>
                <c:pt idx="59">
                  <c:v>0.47803306489143249</c:v>
                </c:pt>
                <c:pt idx="60">
                  <c:v>0.51120440056753791</c:v>
                </c:pt>
                <c:pt idx="61">
                  <c:v>0.60589474464084003</c:v>
                </c:pt>
                <c:pt idx="62">
                  <c:v>0.5069275588793426</c:v>
                </c:pt>
                <c:pt idx="63">
                  <c:v>0.51752629030030484</c:v>
                </c:pt>
                <c:pt idx="64">
                  <c:v>0.99335714738065184</c:v>
                </c:pt>
                <c:pt idx="65">
                  <c:v>0.62170323192955712</c:v>
                </c:pt>
                <c:pt idx="66">
                  <c:v>0.53130280669175689</c:v>
                </c:pt>
                <c:pt idx="67">
                  <c:v>0.66887750517098477</c:v>
                </c:pt>
                <c:pt idx="68">
                  <c:v>0.70982063701817666</c:v>
                </c:pt>
                <c:pt idx="69">
                  <c:v>0.48747824394714961</c:v>
                </c:pt>
                <c:pt idx="70">
                  <c:v>0.46263831419904311</c:v>
                </c:pt>
                <c:pt idx="71">
                  <c:v>0.45098501895393572</c:v>
                </c:pt>
                <c:pt idx="72">
                  <c:v>0.55008564679703764</c:v>
                </c:pt>
                <c:pt idx="73">
                  <c:v>0.57416374668103443</c:v>
                </c:pt>
                <c:pt idx="74">
                  <c:v>0.52537446318020464</c:v>
                </c:pt>
                <c:pt idx="75">
                  <c:v>0.59062697927855434</c:v>
                </c:pt>
                <c:pt idx="76">
                  <c:v>0.62629408615185944</c:v>
                </c:pt>
                <c:pt idx="77">
                  <c:v>0.54674039321791479</c:v>
                </c:pt>
                <c:pt idx="78">
                  <c:v>0.46615780343952212</c:v>
                </c:pt>
                <c:pt idx="79">
                  <c:v>0.42823239539703578</c:v>
                </c:pt>
                <c:pt idx="80">
                  <c:v>0.85443366393834763</c:v>
                </c:pt>
                <c:pt idx="81">
                  <c:v>0.52304775436448891</c:v>
                </c:pt>
                <c:pt idx="82">
                  <c:v>0.76652893619289453</c:v>
                </c:pt>
                <c:pt idx="83">
                  <c:v>0.41804663709628709</c:v>
                </c:pt>
                <c:pt idx="84">
                  <c:v>0.89931199347118118</c:v>
                </c:pt>
                <c:pt idx="85">
                  <c:v>0.37226498676703168</c:v>
                </c:pt>
                <c:pt idx="86">
                  <c:v>0.38479944699847007</c:v>
                </c:pt>
                <c:pt idx="87">
                  <c:v>0.37601430176682649</c:v>
                </c:pt>
                <c:pt idx="88">
                  <c:v>0.54957423978481468</c:v>
                </c:pt>
                <c:pt idx="89">
                  <c:v>0.44627380764766428</c:v>
                </c:pt>
                <c:pt idx="90">
                  <c:v>0.50884043407504731</c:v>
                </c:pt>
                <c:pt idx="91">
                  <c:v>0.66229907886707051</c:v>
                </c:pt>
                <c:pt idx="92">
                  <c:v>0.84308337506646214</c:v>
                </c:pt>
                <c:pt idx="93">
                  <c:v>0.74140889376172603</c:v>
                </c:pt>
                <c:pt idx="94">
                  <c:v>0.36443633151377608</c:v>
                </c:pt>
                <c:pt idx="95">
                  <c:v>0.4652064586147398</c:v>
                </c:pt>
                <c:pt idx="96">
                  <c:v>0.37780105002636688</c:v>
                </c:pt>
                <c:pt idx="97">
                  <c:v>0.51879691353610347</c:v>
                </c:pt>
                <c:pt idx="98">
                  <c:v>0.38737666805601612</c:v>
                </c:pt>
                <c:pt idx="99">
                  <c:v>0.50219311314351334</c:v>
                </c:pt>
                <c:pt idx="100">
                  <c:v>0.37477967269433088</c:v>
                </c:pt>
                <c:pt idx="101">
                  <c:v>0.41077396951857359</c:v>
                </c:pt>
                <c:pt idx="102">
                  <c:v>0.59412662643901271</c:v>
                </c:pt>
                <c:pt idx="103">
                  <c:v>0.5754304709039082</c:v>
                </c:pt>
                <c:pt idx="104">
                  <c:v>0.65646211861144355</c:v>
                </c:pt>
                <c:pt idx="105">
                  <c:v>0.65768316972727414</c:v>
                </c:pt>
                <c:pt idx="106">
                  <c:v>0.79560005800998912</c:v>
                </c:pt>
                <c:pt idx="107">
                  <c:v>0.49797023230172022</c:v>
                </c:pt>
                <c:pt idx="108">
                  <c:v>0.66047464906016184</c:v>
                </c:pt>
                <c:pt idx="109">
                  <c:v>0.47544196233058977</c:v>
                </c:pt>
                <c:pt idx="110">
                  <c:v>0.42051762537220322</c:v>
                </c:pt>
                <c:pt idx="111">
                  <c:v>0.47634224502734213</c:v>
                </c:pt>
                <c:pt idx="112">
                  <c:v>0.54169092262751373</c:v>
                </c:pt>
                <c:pt idx="113">
                  <c:v>0.56709068040631649</c:v>
                </c:pt>
                <c:pt idx="114">
                  <c:v>0.52796488938131625</c:v>
                </c:pt>
                <c:pt idx="115">
                  <c:v>0.43041988497058781</c:v>
                </c:pt>
                <c:pt idx="116">
                  <c:v>0.46823952256539558</c:v>
                </c:pt>
                <c:pt idx="117">
                  <c:v>0.47794791261416208</c:v>
                </c:pt>
                <c:pt idx="118">
                  <c:v>0.49290239797995372</c:v>
                </c:pt>
                <c:pt idx="119">
                  <c:v>0.69596990353526222</c:v>
                </c:pt>
                <c:pt idx="120">
                  <c:v>0.39488524227189042</c:v>
                </c:pt>
                <c:pt idx="121">
                  <c:v>0.47787272865420638</c:v>
                </c:pt>
                <c:pt idx="122">
                  <c:v>0.42889313111913352</c:v>
                </c:pt>
                <c:pt idx="123">
                  <c:v>0.52302924778985693</c:v>
                </c:pt>
                <c:pt idx="124">
                  <c:v>0.57667143084760197</c:v>
                </c:pt>
                <c:pt idx="125">
                  <c:v>0.42899180896383587</c:v>
                </c:pt>
                <c:pt idx="126">
                  <c:v>0.44601601213380843</c:v>
                </c:pt>
                <c:pt idx="127">
                  <c:v>0.37553846609882519</c:v>
                </c:pt>
                <c:pt idx="128">
                  <c:v>0.59985820636935139</c:v>
                </c:pt>
                <c:pt idx="129">
                  <c:v>0.53848705119736462</c:v>
                </c:pt>
                <c:pt idx="130">
                  <c:v>0.63273350202314915</c:v>
                </c:pt>
                <c:pt idx="131">
                  <c:v>0.75080428815478173</c:v>
                </c:pt>
                <c:pt idx="132">
                  <c:v>0.64428759110124734</c:v>
                </c:pt>
                <c:pt idx="133">
                  <c:v>0.58678303441002366</c:v>
                </c:pt>
                <c:pt idx="134">
                  <c:v>0.50431290507504811</c:v>
                </c:pt>
                <c:pt idx="135">
                  <c:v>0.70395331046938281</c:v>
                </c:pt>
                <c:pt idx="136">
                  <c:v>0.63260583408146709</c:v>
                </c:pt>
                <c:pt idx="137">
                  <c:v>0.71244685290575671</c:v>
                </c:pt>
                <c:pt idx="138">
                  <c:v>0.61516241216400336</c:v>
                </c:pt>
                <c:pt idx="139">
                  <c:v>0.62418955267529463</c:v>
                </c:pt>
                <c:pt idx="140">
                  <c:v>0.45608775540731228</c:v>
                </c:pt>
                <c:pt idx="141">
                  <c:v>0.50523394851192993</c:v>
                </c:pt>
                <c:pt idx="142">
                  <c:v>0.52156112741798444</c:v>
                </c:pt>
                <c:pt idx="143">
                  <c:v>0.45858395315965289</c:v>
                </c:pt>
                <c:pt idx="144">
                  <c:v>0.49386515953610299</c:v>
                </c:pt>
                <c:pt idx="145">
                  <c:v>0.45286894161986169</c:v>
                </c:pt>
                <c:pt idx="146">
                  <c:v>0.55974094223797299</c:v>
                </c:pt>
                <c:pt idx="147">
                  <c:v>0.47451338209236887</c:v>
                </c:pt>
                <c:pt idx="148">
                  <c:v>0.41648088222923768</c:v>
                </c:pt>
                <c:pt idx="149">
                  <c:v>0.49444661565086462</c:v>
                </c:pt>
                <c:pt idx="150">
                  <c:v>0.42128492299181097</c:v>
                </c:pt>
                <c:pt idx="151">
                  <c:v>0.73352299591924186</c:v>
                </c:pt>
                <c:pt idx="152">
                  <c:v>0.43274234568308723</c:v>
                </c:pt>
                <c:pt idx="153">
                  <c:v>0.52041210263887039</c:v>
                </c:pt>
                <c:pt idx="154">
                  <c:v>0.41579192278361621</c:v>
                </c:pt>
                <c:pt idx="155">
                  <c:v>0.28623510114465262</c:v>
                </c:pt>
                <c:pt idx="156">
                  <c:v>0.71845778722101694</c:v>
                </c:pt>
                <c:pt idx="157">
                  <c:v>0.3182625590165406</c:v>
                </c:pt>
                <c:pt idx="158">
                  <c:v>0.28667841177805509</c:v>
                </c:pt>
                <c:pt idx="159">
                  <c:v>0.33209263258878541</c:v>
                </c:pt>
                <c:pt idx="160">
                  <c:v>0.35756349943901322</c:v>
                </c:pt>
                <c:pt idx="161">
                  <c:v>0.35896258014389981</c:v>
                </c:pt>
                <c:pt idx="162">
                  <c:v>0.61304801318772928</c:v>
                </c:pt>
                <c:pt idx="163">
                  <c:v>0.55931980404332848</c:v>
                </c:pt>
                <c:pt idx="164">
                  <c:v>0.81113217303733587</c:v>
                </c:pt>
                <c:pt idx="165">
                  <c:v>0.2669533307775741</c:v>
                </c:pt>
                <c:pt idx="166">
                  <c:v>0.30462350202400651</c:v>
                </c:pt>
                <c:pt idx="167">
                  <c:v>0.41735142396681052</c:v>
                </c:pt>
                <c:pt idx="168">
                  <c:v>0.48625530067683181</c:v>
                </c:pt>
                <c:pt idx="169">
                  <c:v>0.44458277238685501</c:v>
                </c:pt>
                <c:pt idx="170">
                  <c:v>0.5847029182148149</c:v>
                </c:pt>
                <c:pt idx="171">
                  <c:v>0.5214642864421315</c:v>
                </c:pt>
                <c:pt idx="172">
                  <c:v>0.6403201313967436</c:v>
                </c:pt>
                <c:pt idx="173">
                  <c:v>0.45161486470560402</c:v>
                </c:pt>
                <c:pt idx="174">
                  <c:v>0.52338010167428928</c:v>
                </c:pt>
                <c:pt idx="175">
                  <c:v>0.41315513305651169</c:v>
                </c:pt>
                <c:pt idx="176">
                  <c:v>0.47763184616490229</c:v>
                </c:pt>
                <c:pt idx="177">
                  <c:v>0.41561333628925362</c:v>
                </c:pt>
                <c:pt idx="178">
                  <c:v>0.37140610036303467</c:v>
                </c:pt>
                <c:pt idx="179">
                  <c:v>0.40220348197744799</c:v>
                </c:pt>
                <c:pt idx="180">
                  <c:v>0.64828211242714795</c:v>
                </c:pt>
                <c:pt idx="181">
                  <c:v>0.43057727480991331</c:v>
                </c:pt>
                <c:pt idx="182">
                  <c:v>0.34591205719919682</c:v>
                </c:pt>
                <c:pt idx="183">
                  <c:v>0.35982308376841737</c:v>
                </c:pt>
                <c:pt idx="184">
                  <c:v>0.39241641573316199</c:v>
                </c:pt>
                <c:pt idx="185">
                  <c:v>0.41630903279471032</c:v>
                </c:pt>
                <c:pt idx="186">
                  <c:v>0.35633569288741951</c:v>
                </c:pt>
                <c:pt idx="187">
                  <c:v>0.59783363606312978</c:v>
                </c:pt>
                <c:pt idx="188">
                  <c:v>0.78305831835210871</c:v>
                </c:pt>
                <c:pt idx="189">
                  <c:v>0.23525418601533199</c:v>
                </c:pt>
                <c:pt idx="190">
                  <c:v>0.27328695204299069</c:v>
                </c:pt>
                <c:pt idx="191">
                  <c:v>0.50301302213882371</c:v>
                </c:pt>
                <c:pt idx="192">
                  <c:v>0.25789135087492671</c:v>
                </c:pt>
                <c:pt idx="193">
                  <c:v>0.34776982326478878</c:v>
                </c:pt>
                <c:pt idx="194">
                  <c:v>0.19672122896831251</c:v>
                </c:pt>
                <c:pt idx="195">
                  <c:v>0.37378318030312008</c:v>
                </c:pt>
                <c:pt idx="196">
                  <c:v>0.75803102728940353</c:v>
                </c:pt>
                <c:pt idx="197">
                  <c:v>0.57530763378722638</c:v>
                </c:pt>
                <c:pt idx="198">
                  <c:v>0.68064016841336938</c:v>
                </c:pt>
                <c:pt idx="199">
                  <c:v>0.44821658489176108</c:v>
                </c:pt>
                <c:pt idx="200">
                  <c:v>0.44306396493933892</c:v>
                </c:pt>
                <c:pt idx="201">
                  <c:v>0.47420913164235229</c:v>
                </c:pt>
                <c:pt idx="202">
                  <c:v>0.51862750017427373</c:v>
                </c:pt>
                <c:pt idx="203">
                  <c:v>0.47526373998676202</c:v>
                </c:pt>
                <c:pt idx="204">
                  <c:v>0.63780329791790891</c:v>
                </c:pt>
                <c:pt idx="205">
                  <c:v>0.59505584426712832</c:v>
                </c:pt>
                <c:pt idx="206">
                  <c:v>0.63528158908340926</c:v>
                </c:pt>
                <c:pt idx="207">
                  <c:v>0.58677019562368338</c:v>
                </c:pt>
                <c:pt idx="208">
                  <c:v>0.36551123272317793</c:v>
                </c:pt>
                <c:pt idx="209">
                  <c:v>0.43973677259687582</c:v>
                </c:pt>
                <c:pt idx="210">
                  <c:v>0.48816324580052972</c:v>
                </c:pt>
                <c:pt idx="211">
                  <c:v>0.44685229297709211</c:v>
                </c:pt>
                <c:pt idx="212">
                  <c:v>0.40618778947019463</c:v>
                </c:pt>
                <c:pt idx="213">
                  <c:v>0.33050519273884932</c:v>
                </c:pt>
                <c:pt idx="214">
                  <c:v>0.50224020371841638</c:v>
                </c:pt>
                <c:pt idx="215">
                  <c:v>0.30658490851062598</c:v>
                </c:pt>
                <c:pt idx="216">
                  <c:v>0.36502321751922279</c:v>
                </c:pt>
                <c:pt idx="217">
                  <c:v>0.50955763247133812</c:v>
                </c:pt>
                <c:pt idx="218">
                  <c:v>0.48164578642127798</c:v>
                </c:pt>
                <c:pt idx="219">
                  <c:v>0.37695151139042921</c:v>
                </c:pt>
                <c:pt idx="220">
                  <c:v>0.55480186261004749</c:v>
                </c:pt>
                <c:pt idx="221">
                  <c:v>0.37299087639744272</c:v>
                </c:pt>
                <c:pt idx="222">
                  <c:v>0.16134567490005369</c:v>
                </c:pt>
                <c:pt idx="223">
                  <c:v>0.51609880928158169</c:v>
                </c:pt>
                <c:pt idx="224">
                  <c:v>0.52443782631879821</c:v>
                </c:pt>
                <c:pt idx="225">
                  <c:v>0.58560751448712522</c:v>
                </c:pt>
                <c:pt idx="226">
                  <c:v>0.46548953757131678</c:v>
                </c:pt>
                <c:pt idx="227">
                  <c:v>0.60038047094926505</c:v>
                </c:pt>
                <c:pt idx="228">
                  <c:v>0.1707845273051608</c:v>
                </c:pt>
                <c:pt idx="229">
                  <c:v>0.60263422497734676</c:v>
                </c:pt>
                <c:pt idx="230">
                  <c:v>0.56664250739446853</c:v>
                </c:pt>
                <c:pt idx="231">
                  <c:v>0.5542982037059212</c:v>
                </c:pt>
                <c:pt idx="232">
                  <c:v>0.47688878290500009</c:v>
                </c:pt>
                <c:pt idx="233">
                  <c:v>0.30035088832481011</c:v>
                </c:pt>
                <c:pt idx="234">
                  <c:v>0.36984629833047228</c:v>
                </c:pt>
                <c:pt idx="235">
                  <c:v>0.54343500890418295</c:v>
                </c:pt>
                <c:pt idx="236">
                  <c:v>0.51617338544320057</c:v>
                </c:pt>
                <c:pt idx="237">
                  <c:v>0.46638163584106163</c:v>
                </c:pt>
                <c:pt idx="238">
                  <c:v>0.13529376045531091</c:v>
                </c:pt>
                <c:pt idx="239">
                  <c:v>0.44369822448293289</c:v>
                </c:pt>
                <c:pt idx="240">
                  <c:v>0.3103873979250672</c:v>
                </c:pt>
                <c:pt idx="241">
                  <c:v>0.36725700444894321</c:v>
                </c:pt>
                <c:pt idx="242">
                  <c:v>0.15566755708845659</c:v>
                </c:pt>
                <c:pt idx="243">
                  <c:v>0.39481252147366219</c:v>
                </c:pt>
                <c:pt idx="244">
                  <c:v>0.47977594970724841</c:v>
                </c:pt>
                <c:pt idx="245">
                  <c:v>0.4655157805641138</c:v>
                </c:pt>
                <c:pt idx="246">
                  <c:v>0.57846570163285538</c:v>
                </c:pt>
                <c:pt idx="247">
                  <c:v>0.55852320953099566</c:v>
                </c:pt>
                <c:pt idx="248">
                  <c:v>0.81330836884138269</c:v>
                </c:pt>
                <c:pt idx="249">
                  <c:v>0.17180131922216341</c:v>
                </c:pt>
                <c:pt idx="250">
                  <c:v>0.69145664497104142</c:v>
                </c:pt>
                <c:pt idx="251">
                  <c:v>0.76205001072318856</c:v>
                </c:pt>
                <c:pt idx="252">
                  <c:v>0.71226230429648552</c:v>
                </c:pt>
                <c:pt idx="253">
                  <c:v>0.19622108314961689</c:v>
                </c:pt>
                <c:pt idx="254">
                  <c:v>0.41984825177542912</c:v>
                </c:pt>
                <c:pt idx="255">
                  <c:v>0.40266273861100338</c:v>
                </c:pt>
                <c:pt idx="256">
                  <c:v>0.20786819242448551</c:v>
                </c:pt>
                <c:pt idx="257">
                  <c:v>0.42919323539179388</c:v>
                </c:pt>
                <c:pt idx="258">
                  <c:v>0.49347407392068898</c:v>
                </c:pt>
                <c:pt idx="259">
                  <c:v>0.62686091912652586</c:v>
                </c:pt>
                <c:pt idx="260">
                  <c:v>0.65714837569503282</c:v>
                </c:pt>
                <c:pt idx="261">
                  <c:v>0.1670206821999288</c:v>
                </c:pt>
                <c:pt idx="262">
                  <c:v>0.74740788428599125</c:v>
                </c:pt>
                <c:pt idx="263">
                  <c:v>0.67527920298395439</c:v>
                </c:pt>
                <c:pt idx="264">
                  <c:v>0.58709926990594508</c:v>
                </c:pt>
                <c:pt idx="265">
                  <c:v>0.16440567203609069</c:v>
                </c:pt>
                <c:pt idx="266">
                  <c:v>0.34776726625166787</c:v>
                </c:pt>
                <c:pt idx="267">
                  <c:v>0.34231517561598018</c:v>
                </c:pt>
                <c:pt idx="268">
                  <c:v>0.52889411249703611</c:v>
                </c:pt>
                <c:pt idx="269">
                  <c:v>0.78223662920016324</c:v>
                </c:pt>
                <c:pt idx="270">
                  <c:v>0.27311003195332723</c:v>
                </c:pt>
                <c:pt idx="271">
                  <c:v>0.63415557421889723</c:v>
                </c:pt>
                <c:pt idx="272">
                  <c:v>0.62437432797528725</c:v>
                </c:pt>
                <c:pt idx="273">
                  <c:v>0.24079649550767129</c:v>
                </c:pt>
                <c:pt idx="274">
                  <c:v>0.48956498819966932</c:v>
                </c:pt>
                <c:pt idx="275">
                  <c:v>8.4458622385350957E-2</c:v>
                </c:pt>
                <c:pt idx="276">
                  <c:v>0.64234369335159602</c:v>
                </c:pt>
                <c:pt idx="277">
                  <c:v>0.70204597811353231</c:v>
                </c:pt>
                <c:pt idx="278">
                  <c:v>0.44535841238372359</c:v>
                </c:pt>
                <c:pt idx="279">
                  <c:v>7.4563506311372332E-2</c:v>
                </c:pt>
              </c:numCache>
            </c:numRef>
          </c:xVal>
          <c:yVal>
            <c:numRef>
              <c:f>'Paul dataset'!$AS$2:$AS$281</c:f>
              <c:numCache>
                <c:formatCode>General</c:formatCode>
                <c:ptCount val="280"/>
                <c:pt idx="0">
                  <c:v>0.325278365784819</c:v>
                </c:pt>
                <c:pt idx="1">
                  <c:v>0.90604907201366602</c:v>
                </c:pt>
                <c:pt idx="2">
                  <c:v>0.330529939672356</c:v>
                </c:pt>
                <c:pt idx="3">
                  <c:v>0.373877001284387</c:v>
                </c:pt>
                <c:pt idx="4">
                  <c:v>0.39106934227006701</c:v>
                </c:pt>
                <c:pt idx="5">
                  <c:v>0.46654253263601497</c:v>
                </c:pt>
                <c:pt idx="6">
                  <c:v>0.76863460024886199</c:v>
                </c:pt>
                <c:pt idx="7">
                  <c:v>0.87180163671783795</c:v>
                </c:pt>
                <c:pt idx="8">
                  <c:v>0.47105107054411999</c:v>
                </c:pt>
                <c:pt idx="9">
                  <c:v>0.51356523270784404</c:v>
                </c:pt>
                <c:pt idx="10">
                  <c:v>0.84918728361013995</c:v>
                </c:pt>
                <c:pt idx="11">
                  <c:v>0.88920782413088195</c:v>
                </c:pt>
                <c:pt idx="12">
                  <c:v>0.681219030983653</c:v>
                </c:pt>
                <c:pt idx="13">
                  <c:v>0.70654336036312204</c:v>
                </c:pt>
                <c:pt idx="14">
                  <c:v>0.70903794266828701</c:v>
                </c:pt>
                <c:pt idx="15">
                  <c:v>0.71164767443409305</c:v>
                </c:pt>
                <c:pt idx="16">
                  <c:v>0.71631452752501601</c:v>
                </c:pt>
                <c:pt idx="17">
                  <c:v>0.72252210044165699</c:v>
                </c:pt>
                <c:pt idx="18">
                  <c:v>0.73652124088385096</c:v>
                </c:pt>
                <c:pt idx="19">
                  <c:v>0.57225134267558198</c:v>
                </c:pt>
                <c:pt idx="20">
                  <c:v>0.63177377264448198</c:v>
                </c:pt>
                <c:pt idx="21">
                  <c:v>0.702223437388523</c:v>
                </c:pt>
                <c:pt idx="22">
                  <c:v>0.52035671357633695</c:v>
                </c:pt>
                <c:pt idx="23">
                  <c:v>0.70471090872236597</c:v>
                </c:pt>
                <c:pt idx="24">
                  <c:v>0.60475571687948004</c:v>
                </c:pt>
                <c:pt idx="25">
                  <c:v>0.60676202858595496</c:v>
                </c:pt>
                <c:pt idx="26">
                  <c:v>0.67512269387888801</c:v>
                </c:pt>
                <c:pt idx="27">
                  <c:v>0.66391148768484398</c:v>
                </c:pt>
                <c:pt idx="28">
                  <c:v>0.60935474248441601</c:v>
                </c:pt>
                <c:pt idx="29">
                  <c:v>0.59260899077614004</c:v>
                </c:pt>
                <c:pt idx="30">
                  <c:v>0.38012573374951197</c:v>
                </c:pt>
                <c:pt idx="31">
                  <c:v>0.51682933778703199</c:v>
                </c:pt>
                <c:pt idx="32">
                  <c:v>0.52753356340999402</c:v>
                </c:pt>
                <c:pt idx="33">
                  <c:v>0.621956309645051</c:v>
                </c:pt>
                <c:pt idx="34">
                  <c:v>0.40117509954545699</c:v>
                </c:pt>
                <c:pt idx="35">
                  <c:v>0.40972899920155298</c:v>
                </c:pt>
                <c:pt idx="36">
                  <c:v>0.425095348014283</c:v>
                </c:pt>
                <c:pt idx="37">
                  <c:v>0.69748304318457099</c:v>
                </c:pt>
                <c:pt idx="38">
                  <c:v>0.57677938078697499</c:v>
                </c:pt>
                <c:pt idx="39">
                  <c:v>0.52282551125717003</c:v>
                </c:pt>
                <c:pt idx="40">
                  <c:v>0.55970828818710605</c:v>
                </c:pt>
                <c:pt idx="41">
                  <c:v>0.63956819028768597</c:v>
                </c:pt>
                <c:pt idx="42">
                  <c:v>0.50073173410121397</c:v>
                </c:pt>
                <c:pt idx="43">
                  <c:v>0.59816363461771205</c:v>
                </c:pt>
                <c:pt idx="44">
                  <c:v>0.60160086394115098</c:v>
                </c:pt>
                <c:pt idx="45">
                  <c:v>0.72875492919178397</c:v>
                </c:pt>
                <c:pt idx="46">
                  <c:v>0.69417556896058397</c:v>
                </c:pt>
                <c:pt idx="47">
                  <c:v>0.70272006507495299</c:v>
                </c:pt>
                <c:pt idx="48">
                  <c:v>0.70737618107226696</c:v>
                </c:pt>
                <c:pt idx="49">
                  <c:v>0.70972557884451004</c:v>
                </c:pt>
                <c:pt idx="50">
                  <c:v>0.60376731825540197</c:v>
                </c:pt>
                <c:pt idx="51">
                  <c:v>0.61301468932445602</c:v>
                </c:pt>
                <c:pt idx="52">
                  <c:v>0.62411484170017495</c:v>
                </c:pt>
                <c:pt idx="53">
                  <c:v>0.73165755523953102</c:v>
                </c:pt>
                <c:pt idx="54">
                  <c:v>0.58907982377575696</c:v>
                </c:pt>
                <c:pt idx="55">
                  <c:v>0.57887169508685998</c:v>
                </c:pt>
                <c:pt idx="56">
                  <c:v>0.600411468523665</c:v>
                </c:pt>
                <c:pt idx="57">
                  <c:v>0.57223283880466702</c:v>
                </c:pt>
                <c:pt idx="58">
                  <c:v>0.639686763236335</c:v>
                </c:pt>
                <c:pt idx="59">
                  <c:v>0.57131186169362502</c:v>
                </c:pt>
                <c:pt idx="60">
                  <c:v>0.69561967463139196</c:v>
                </c:pt>
                <c:pt idx="61">
                  <c:v>0.76945676051887502</c:v>
                </c:pt>
                <c:pt idx="62">
                  <c:v>0.75465184668796703</c:v>
                </c:pt>
                <c:pt idx="63">
                  <c:v>0.66238501778076697</c:v>
                </c:pt>
                <c:pt idx="64">
                  <c:v>0.67024535126828799</c:v>
                </c:pt>
                <c:pt idx="65">
                  <c:v>0.67195289403343195</c:v>
                </c:pt>
                <c:pt idx="66">
                  <c:v>0.603481413999988</c:v>
                </c:pt>
                <c:pt idx="67">
                  <c:v>0.60940173679777399</c:v>
                </c:pt>
                <c:pt idx="68">
                  <c:v>0.60167347452735498</c:v>
                </c:pt>
                <c:pt idx="69">
                  <c:v>0.45153344258823402</c:v>
                </c:pt>
                <c:pt idx="70">
                  <c:v>0.50223265874616996</c:v>
                </c:pt>
                <c:pt idx="71">
                  <c:v>0.50706763682851597</c:v>
                </c:pt>
                <c:pt idx="72">
                  <c:v>0.47705702762133301</c:v>
                </c:pt>
                <c:pt idx="73">
                  <c:v>0.36580539683222302</c:v>
                </c:pt>
                <c:pt idx="74">
                  <c:v>0.336561551851772</c:v>
                </c:pt>
                <c:pt idx="75">
                  <c:v>0.33211066820914997</c:v>
                </c:pt>
                <c:pt idx="76">
                  <c:v>0.37211058432988298</c:v>
                </c:pt>
                <c:pt idx="77">
                  <c:v>0.39067473894825899</c:v>
                </c:pt>
                <c:pt idx="78">
                  <c:v>0.33377583141578898</c:v>
                </c:pt>
                <c:pt idx="79">
                  <c:v>0.35714751741713102</c:v>
                </c:pt>
                <c:pt idx="80">
                  <c:v>0.58202193334832597</c:v>
                </c:pt>
                <c:pt idx="81">
                  <c:v>0.49703744035132902</c:v>
                </c:pt>
                <c:pt idx="82">
                  <c:v>0.61154301081308604</c:v>
                </c:pt>
                <c:pt idx="83">
                  <c:v>0.28423975208913599</c:v>
                </c:pt>
                <c:pt idx="84">
                  <c:v>0.84464262054945105</c:v>
                </c:pt>
                <c:pt idx="85">
                  <c:v>0.28882876327734702</c:v>
                </c:pt>
                <c:pt idx="86">
                  <c:v>0.29166513839944402</c:v>
                </c:pt>
                <c:pt idx="87">
                  <c:v>0.32861063145298097</c:v>
                </c:pt>
                <c:pt idx="88">
                  <c:v>0.33410281180665602</c:v>
                </c:pt>
                <c:pt idx="89">
                  <c:v>0.343721445993729</c:v>
                </c:pt>
                <c:pt idx="90">
                  <c:v>0.41916044565761901</c:v>
                </c:pt>
                <c:pt idx="91">
                  <c:v>0.47664782554701401</c:v>
                </c:pt>
                <c:pt idx="92">
                  <c:v>0.70884050742787996</c:v>
                </c:pt>
                <c:pt idx="93">
                  <c:v>0.81294863950688001</c:v>
                </c:pt>
                <c:pt idx="94">
                  <c:v>0.313906634580704</c:v>
                </c:pt>
                <c:pt idx="95">
                  <c:v>0.432729071000512</c:v>
                </c:pt>
                <c:pt idx="96">
                  <c:v>0.47302142979777401</c:v>
                </c:pt>
                <c:pt idx="97">
                  <c:v>0.63871545423778098</c:v>
                </c:pt>
                <c:pt idx="98">
                  <c:v>0.791597067305012</c:v>
                </c:pt>
                <c:pt idx="99">
                  <c:v>0.83031318234705798</c:v>
                </c:pt>
                <c:pt idx="100">
                  <c:v>0.62474145170408502</c:v>
                </c:pt>
                <c:pt idx="101">
                  <c:v>0.64919026856692796</c:v>
                </c:pt>
                <c:pt idx="102">
                  <c:v>0.65207399718217196</c:v>
                </c:pt>
                <c:pt idx="103">
                  <c:v>0.65492298329516496</c:v>
                </c:pt>
                <c:pt idx="104">
                  <c:v>0.659824739971826</c:v>
                </c:pt>
                <c:pt idx="105">
                  <c:v>0.66554618730292003</c:v>
                </c:pt>
                <c:pt idx="106">
                  <c:v>0.67922533015106001</c:v>
                </c:pt>
                <c:pt idx="107">
                  <c:v>0.58048446312063995</c:v>
                </c:pt>
                <c:pt idx="108">
                  <c:v>0.64441954381145705</c:v>
                </c:pt>
                <c:pt idx="109">
                  <c:v>0.54741778537246999</c:v>
                </c:pt>
                <c:pt idx="110">
                  <c:v>0.54902459116563795</c:v>
                </c:pt>
                <c:pt idx="111">
                  <c:v>0.62151097971275204</c:v>
                </c:pt>
                <c:pt idx="112">
                  <c:v>0.61148240210732596</c:v>
                </c:pt>
                <c:pt idx="113">
                  <c:v>0.56135863386634</c:v>
                </c:pt>
                <c:pt idx="114">
                  <c:v>0.54444746989534498</c:v>
                </c:pt>
                <c:pt idx="115">
                  <c:v>0.29021005983648301</c:v>
                </c:pt>
                <c:pt idx="116">
                  <c:v>0.32705807970780398</c:v>
                </c:pt>
                <c:pt idx="117">
                  <c:v>0.46952730039453699</c:v>
                </c:pt>
                <c:pt idx="118">
                  <c:v>0.47758764555047001</c:v>
                </c:pt>
                <c:pt idx="119">
                  <c:v>0.57296763275110396</c:v>
                </c:pt>
                <c:pt idx="120">
                  <c:v>0.35784925527689498</c:v>
                </c:pt>
                <c:pt idx="121">
                  <c:v>0.36547935650976598</c:v>
                </c:pt>
                <c:pt idx="122">
                  <c:v>0.37918618050055403</c:v>
                </c:pt>
                <c:pt idx="123">
                  <c:v>0.519182143281954</c:v>
                </c:pt>
                <c:pt idx="124">
                  <c:v>0.64561234393516598</c:v>
                </c:pt>
                <c:pt idx="125">
                  <c:v>0.53305339553952102</c:v>
                </c:pt>
                <c:pt idx="126">
                  <c:v>0.481550648523557</c:v>
                </c:pt>
                <c:pt idx="127">
                  <c:v>0.517276472544279</c:v>
                </c:pt>
                <c:pt idx="128">
                  <c:v>0.458686545511093</c:v>
                </c:pt>
                <c:pt idx="129">
                  <c:v>0.549550686067522</c:v>
                </c:pt>
                <c:pt idx="130">
                  <c:v>0.55270857067261603</c:v>
                </c:pt>
                <c:pt idx="131">
                  <c:v>0.58201181872868502</c:v>
                </c:pt>
                <c:pt idx="132">
                  <c:v>0.67765417033448005</c:v>
                </c:pt>
                <c:pt idx="133">
                  <c:v>0.64657730066772501</c:v>
                </c:pt>
                <c:pt idx="134">
                  <c:v>0.65086142326906704</c:v>
                </c:pt>
                <c:pt idx="135">
                  <c:v>0.65302311943408797</c:v>
                </c:pt>
                <c:pt idx="136">
                  <c:v>0.55621130569551602</c:v>
                </c:pt>
                <c:pt idx="137">
                  <c:v>0.56473030329779805</c:v>
                </c:pt>
                <c:pt idx="138">
                  <c:v>0.57495614702872799</c:v>
                </c:pt>
                <c:pt idx="139">
                  <c:v>0.681723381698634</c:v>
                </c:pt>
                <c:pt idx="140">
                  <c:v>0.54120511941784599</c:v>
                </c:pt>
                <c:pt idx="141">
                  <c:v>0.53182660858942599</c:v>
                </c:pt>
                <c:pt idx="142">
                  <c:v>0.55311978102271897</c:v>
                </c:pt>
                <c:pt idx="143">
                  <c:v>0.52572729426565101</c:v>
                </c:pt>
                <c:pt idx="144">
                  <c:v>0.58757108103754396</c:v>
                </c:pt>
                <c:pt idx="145">
                  <c:v>0.51572478723314696</c:v>
                </c:pt>
                <c:pt idx="146">
                  <c:v>0.64684238088576695</c:v>
                </c:pt>
                <c:pt idx="147">
                  <c:v>0.72648248521616998</c:v>
                </c:pt>
                <c:pt idx="148">
                  <c:v>0.69604907557578499</c:v>
                </c:pt>
                <c:pt idx="149">
                  <c:v>0.60975547787119699</c:v>
                </c:pt>
                <c:pt idx="150">
                  <c:v>0.61351721525567604</c:v>
                </c:pt>
                <c:pt idx="151">
                  <c:v>0.61859289471081802</c:v>
                </c:pt>
                <c:pt idx="152">
                  <c:v>0.54605614884696396</c:v>
                </c:pt>
                <c:pt idx="153">
                  <c:v>0.55141311360689005</c:v>
                </c:pt>
                <c:pt idx="154">
                  <c:v>0.54462777572841403</c:v>
                </c:pt>
                <c:pt idx="155">
                  <c:v>0.17308114804688701</c:v>
                </c:pt>
                <c:pt idx="156">
                  <c:v>0.65746764626014897</c:v>
                </c:pt>
                <c:pt idx="157">
                  <c:v>0.174434397614431</c:v>
                </c:pt>
                <c:pt idx="158">
                  <c:v>0.176209364202533</c:v>
                </c:pt>
                <c:pt idx="159">
                  <c:v>0.19033041576340301</c:v>
                </c:pt>
                <c:pt idx="160">
                  <c:v>0.202735752680199</c:v>
                </c:pt>
                <c:pt idx="161">
                  <c:v>0.27439443552741399</c:v>
                </c:pt>
                <c:pt idx="162">
                  <c:v>0.36046925015534098</c:v>
                </c:pt>
                <c:pt idx="163">
                  <c:v>0.494481921319118</c:v>
                </c:pt>
                <c:pt idx="164">
                  <c:v>0.63298610568687796</c:v>
                </c:pt>
                <c:pt idx="165">
                  <c:v>0.183493865311598</c:v>
                </c:pt>
                <c:pt idx="166">
                  <c:v>0.32868653138091303</c:v>
                </c:pt>
                <c:pt idx="167">
                  <c:v>0.61458123176699397</c:v>
                </c:pt>
                <c:pt idx="168">
                  <c:v>0.64616787294345002</c:v>
                </c:pt>
                <c:pt idx="169">
                  <c:v>0.45613061071491001</c:v>
                </c:pt>
                <c:pt idx="170">
                  <c:v>0.45989076665336198</c:v>
                </c:pt>
                <c:pt idx="171">
                  <c:v>0.46238265825907399</c:v>
                </c:pt>
                <c:pt idx="172">
                  <c:v>0.46654010917316002</c:v>
                </c:pt>
                <c:pt idx="173">
                  <c:v>0.32748575142543102</c:v>
                </c:pt>
                <c:pt idx="174">
                  <c:v>0.46114322093448601</c:v>
                </c:pt>
                <c:pt idx="175">
                  <c:v>0.46438949828674297</c:v>
                </c:pt>
                <c:pt idx="176">
                  <c:v>0.34986267755761702</c:v>
                </c:pt>
                <c:pt idx="177">
                  <c:v>0.354972038404959</c:v>
                </c:pt>
                <c:pt idx="178">
                  <c:v>0.43598565816344298</c:v>
                </c:pt>
                <c:pt idx="179">
                  <c:v>0.43563431256692697</c:v>
                </c:pt>
                <c:pt idx="180">
                  <c:v>0.41341094410159201</c:v>
                </c:pt>
                <c:pt idx="181">
                  <c:v>0.40074736380774401</c:v>
                </c:pt>
                <c:pt idx="182">
                  <c:v>0.17531074873047001</c:v>
                </c:pt>
                <c:pt idx="183">
                  <c:v>0.19501613889442801</c:v>
                </c:pt>
                <c:pt idx="184">
                  <c:v>0.19867925838100201</c:v>
                </c:pt>
                <c:pt idx="185">
                  <c:v>0.28535182096949602</c:v>
                </c:pt>
                <c:pt idx="186">
                  <c:v>0.29152544561618199</c:v>
                </c:pt>
                <c:pt idx="187">
                  <c:v>0.42338138742071901</c:v>
                </c:pt>
                <c:pt idx="188">
                  <c:v>0.48105493740872302</c:v>
                </c:pt>
                <c:pt idx="189">
                  <c:v>0.242892548340227</c:v>
                </c:pt>
                <c:pt idx="190">
                  <c:v>0.251216267564283</c:v>
                </c:pt>
                <c:pt idx="191">
                  <c:v>0.48200160254091701</c:v>
                </c:pt>
                <c:pt idx="192">
                  <c:v>0.42380755938926101</c:v>
                </c:pt>
                <c:pt idx="193">
                  <c:v>0.36939961070907301</c:v>
                </c:pt>
                <c:pt idx="194">
                  <c:v>0.41135112453988898</c:v>
                </c:pt>
                <c:pt idx="195">
                  <c:v>0.366183940783816</c:v>
                </c:pt>
                <c:pt idx="196">
                  <c:v>0.338865354801623</c:v>
                </c:pt>
                <c:pt idx="197">
                  <c:v>0.409410994634267</c:v>
                </c:pt>
                <c:pt idx="198">
                  <c:v>0.43524773444315201</c:v>
                </c:pt>
                <c:pt idx="199">
                  <c:v>0.53627484423273997</c:v>
                </c:pt>
                <c:pt idx="200">
                  <c:v>0.44100734759969501</c:v>
                </c:pt>
                <c:pt idx="201">
                  <c:v>0.456534222054789</c:v>
                </c:pt>
                <c:pt idx="202">
                  <c:v>0.46285602758440503</c:v>
                </c:pt>
                <c:pt idx="203">
                  <c:v>0.46669836521989</c:v>
                </c:pt>
                <c:pt idx="204">
                  <c:v>0.46897489226107703</c:v>
                </c:pt>
                <c:pt idx="205">
                  <c:v>0.40906764430189202</c:v>
                </c:pt>
                <c:pt idx="206">
                  <c:v>0.42068643547426299</c:v>
                </c:pt>
                <c:pt idx="207">
                  <c:v>0.54205138869618896</c:v>
                </c:pt>
                <c:pt idx="208">
                  <c:v>0.39340357575879698</c:v>
                </c:pt>
                <c:pt idx="209">
                  <c:v>0.38548441095187702</c:v>
                </c:pt>
                <c:pt idx="210">
                  <c:v>0.40429724762750802</c:v>
                </c:pt>
                <c:pt idx="211">
                  <c:v>0.38048273171510999</c:v>
                </c:pt>
                <c:pt idx="212">
                  <c:v>0.41828355675413997</c:v>
                </c:pt>
                <c:pt idx="213">
                  <c:v>0.333383548643923</c:v>
                </c:pt>
                <c:pt idx="214">
                  <c:v>0.511810584236706</c:v>
                </c:pt>
                <c:pt idx="215">
                  <c:v>0.57606846686062496</c:v>
                </c:pt>
                <c:pt idx="216">
                  <c:v>0.50902691378951903</c:v>
                </c:pt>
                <c:pt idx="217">
                  <c:v>0.434421304501593</c:v>
                </c:pt>
                <c:pt idx="218">
                  <c:v>0.43336896022679</c:v>
                </c:pt>
                <c:pt idx="219">
                  <c:v>0.35288255864810802</c:v>
                </c:pt>
                <c:pt idx="220">
                  <c:v>0.35720014345580198</c:v>
                </c:pt>
                <c:pt idx="221">
                  <c:v>0.34722484777297402</c:v>
                </c:pt>
                <c:pt idx="222">
                  <c:v>0.45613061071494099</c:v>
                </c:pt>
                <c:pt idx="223">
                  <c:v>0.45989076665334899</c:v>
                </c:pt>
                <c:pt idx="224">
                  <c:v>0.46238265825909602</c:v>
                </c:pt>
                <c:pt idx="225">
                  <c:v>0.46654010917316202</c:v>
                </c:pt>
                <c:pt idx="226">
                  <c:v>0.47043461265455</c:v>
                </c:pt>
                <c:pt idx="227">
                  <c:v>0.481054937408737</c:v>
                </c:pt>
                <c:pt idx="228">
                  <c:v>0.36618394078416899</c:v>
                </c:pt>
                <c:pt idx="229">
                  <c:v>0.43524773444314302</c:v>
                </c:pt>
                <c:pt idx="230">
                  <c:v>0.46114322093443899</c:v>
                </c:pt>
                <c:pt idx="231">
                  <c:v>0.35598590443685002</c:v>
                </c:pt>
                <c:pt idx="232">
                  <c:v>0.41341094410158802</c:v>
                </c:pt>
                <c:pt idx="233">
                  <c:v>0.47214723983691598</c:v>
                </c:pt>
                <c:pt idx="234">
                  <c:v>0.47477410267257603</c:v>
                </c:pt>
                <c:pt idx="235">
                  <c:v>0.47915842786691998</c:v>
                </c:pt>
                <c:pt idx="236">
                  <c:v>0.48326737401633402</c:v>
                </c:pt>
                <c:pt idx="237">
                  <c:v>0.49448192131912599</c:v>
                </c:pt>
                <c:pt idx="238">
                  <c:v>0.37823609852791601</c:v>
                </c:pt>
                <c:pt idx="239">
                  <c:v>0.45232428622958698</c:v>
                </c:pt>
                <c:pt idx="240">
                  <c:v>0.47708857044335701</c:v>
                </c:pt>
                <c:pt idx="241">
                  <c:v>0.37274429196922199</c:v>
                </c:pt>
                <c:pt idx="242">
                  <c:v>0.48055388474862698</c:v>
                </c:pt>
                <c:pt idx="243">
                  <c:v>0.42960377247559201</c:v>
                </c:pt>
                <c:pt idx="244">
                  <c:v>0.609999069046265</c:v>
                </c:pt>
                <c:pt idx="245">
                  <c:v>0.61279359148172796</c:v>
                </c:pt>
                <c:pt idx="246">
                  <c:v>0.61737410565746298</c:v>
                </c:pt>
                <c:pt idx="247">
                  <c:v>0.62291051254556196</c:v>
                </c:pt>
                <c:pt idx="248">
                  <c:v>0.63298610568689895</c:v>
                </c:pt>
                <c:pt idx="249">
                  <c:v>0.54601774171488104</c:v>
                </c:pt>
                <c:pt idx="250">
                  <c:v>0.54762957336603701</c:v>
                </c:pt>
                <c:pt idx="251">
                  <c:v>0.604019180244039</c:v>
                </c:pt>
                <c:pt idx="252">
                  <c:v>0.46692302952006898</c:v>
                </c:pt>
                <c:pt idx="253">
                  <c:v>0.60222945458486798</c:v>
                </c:pt>
                <c:pt idx="254">
                  <c:v>0.58467199425765204</c:v>
                </c:pt>
                <c:pt idx="255">
                  <c:v>0.52725243083089202</c:v>
                </c:pt>
                <c:pt idx="256">
                  <c:v>0.63081676316650004</c:v>
                </c:pt>
                <c:pt idx="257">
                  <c:v>0.63270290178836097</c:v>
                </c:pt>
                <c:pt idx="258">
                  <c:v>0.63570982935383602</c:v>
                </c:pt>
                <c:pt idx="259">
                  <c:v>0.64064071658556199</c:v>
                </c:pt>
                <c:pt idx="260">
                  <c:v>0.64660429663706198</c:v>
                </c:pt>
                <c:pt idx="261">
                  <c:v>0.56892321593024098</c:v>
                </c:pt>
                <c:pt idx="262">
                  <c:v>0.56766085598873905</c:v>
                </c:pt>
                <c:pt idx="263">
                  <c:v>0.62944859491218996</c:v>
                </c:pt>
                <c:pt idx="264">
                  <c:v>0.48998713227026103</c:v>
                </c:pt>
                <c:pt idx="265">
                  <c:v>0.53982083039011397</c:v>
                </c:pt>
                <c:pt idx="266">
                  <c:v>0.53701788913034598</c:v>
                </c:pt>
                <c:pt idx="267">
                  <c:v>0.60846636553982303</c:v>
                </c:pt>
                <c:pt idx="268">
                  <c:v>0.54692840900941098</c:v>
                </c:pt>
                <c:pt idx="269">
                  <c:v>0.65746764626014598</c:v>
                </c:pt>
                <c:pt idx="270">
                  <c:v>0.646167872943472</c:v>
                </c:pt>
                <c:pt idx="271">
                  <c:v>0.42338138742073</c:v>
                </c:pt>
                <c:pt idx="272">
                  <c:v>0.32974641544685701</c:v>
                </c:pt>
                <c:pt idx="273">
                  <c:v>0.53627484423273897</c:v>
                </c:pt>
                <c:pt idx="274">
                  <c:v>0.46897489226108502</c:v>
                </c:pt>
                <c:pt idx="275">
                  <c:v>0.61458123176700696</c:v>
                </c:pt>
                <c:pt idx="276">
                  <c:v>0.40906764430189302</c:v>
                </c:pt>
                <c:pt idx="277">
                  <c:v>0.42068643547426399</c:v>
                </c:pt>
                <c:pt idx="278">
                  <c:v>0.54205138869618497</c:v>
                </c:pt>
                <c:pt idx="279">
                  <c:v>0.39340357575880802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0B-844E-8EF3-DDC06FE1A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85680"/>
        <c:axId val="94762736"/>
      </c:scatterChart>
      <c:valAx>
        <c:axId val="9538568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62736"/>
        <c:crosses val="autoZero"/>
        <c:crossBetween val="midCat"/>
        <c:majorUnit val="0.2"/>
      </c:valAx>
      <c:valAx>
        <c:axId val="9476273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85680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27215</xdr:colOff>
      <xdr:row>21</xdr:row>
      <xdr:rowOff>18143</xdr:rowOff>
    </xdr:from>
    <xdr:to>
      <xdr:col>38</xdr:col>
      <xdr:colOff>99786</xdr:colOff>
      <xdr:row>43</xdr:row>
      <xdr:rowOff>27214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95F435-F52D-05C5-1FB3-A80D2A6AE9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509857</xdr:colOff>
      <xdr:row>20</xdr:row>
      <xdr:rowOff>150957</xdr:rowOff>
    </xdr:from>
    <xdr:to>
      <xdr:col>44</xdr:col>
      <xdr:colOff>335643</xdr:colOff>
      <xdr:row>43</xdr:row>
      <xdr:rowOff>36285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C026FE-EA47-77F5-E210-AB39E9EB90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45</xdr:col>
      <xdr:colOff>27215</xdr:colOff>
      <xdr:row>21</xdr:row>
      <xdr:rowOff>2</xdr:rowOff>
    </xdr:from>
    <xdr:to>
      <xdr:col>51</xdr:col>
      <xdr:colOff>281215</xdr:colOff>
      <xdr:row>43</xdr:row>
      <xdr:rowOff>18144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E43330-EE67-F148-9EE3-7F3E72D70F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0.10033</cdr:x>
      <cdr:y>0.03851</cdr:y>
    </cdr:from>
    <cdr:to>
      <cdr:x>0.96162</cdr:x>
      <cdr:y>0.91194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50A72F44-57F2-BC18-5441-4F077E8964E2}"/>
            </a:ext>
          </a:extLst>
        </cdr:cNvPr>
        <cdr:cNvCxnSpPr/>
      </cdr:nvCxnSpPr>
      <cdr:spPr>
        <a:xfrm xmlns:a="http://schemas.openxmlformats.org/drawingml/2006/main" flipV="1">
          <a:off x="619805" y="213621"/>
          <a:ext cx="5320509" cy="4844671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0.10505</cdr:x>
      <cdr:y>0.04089</cdr:y>
    </cdr:from>
    <cdr:to>
      <cdr:x>0.96703</cdr:x>
      <cdr:y>0.90515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E751EF87-496A-AF95-E495-E3D66A09EAF6}"/>
            </a:ext>
          </a:extLst>
        </cdr:cNvPr>
        <cdr:cNvCxnSpPr/>
      </cdr:nvCxnSpPr>
      <cdr:spPr>
        <a:xfrm xmlns:a="http://schemas.openxmlformats.org/drawingml/2006/main" flipV="1">
          <a:off x="633557" y="223982"/>
          <a:ext cx="5198663" cy="4733925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0.10505</cdr:x>
      <cdr:y>0.04089</cdr:y>
    </cdr:from>
    <cdr:to>
      <cdr:x>0.96703</cdr:x>
      <cdr:y>0.90515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E751EF87-496A-AF95-E495-E3D66A09EAF6}"/>
            </a:ext>
          </a:extLst>
        </cdr:cNvPr>
        <cdr:cNvCxnSpPr/>
      </cdr:nvCxnSpPr>
      <cdr:spPr>
        <a:xfrm xmlns:a="http://schemas.openxmlformats.org/drawingml/2006/main" flipV="1">
          <a:off x="633557" y="223982"/>
          <a:ext cx="5198663" cy="4733925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D2B0C-7444-48A7-B069-C0178FD5AD6D}">
  <dimension ref="A1:AU281"/>
  <sheetViews>
    <sheetView tabSelected="1" topLeftCell="AG1" zoomScale="140" zoomScaleNormal="140" workbookViewId="0">
      <selection activeCell="AT10" sqref="AT10"/>
    </sheetView>
  </sheetViews>
  <sheetFormatPr baseColWidth="10" defaultRowHeight="15" x14ac:dyDescent="0.2"/>
  <cols>
    <col min="1" max="1" width="10.83203125" style="9"/>
    <col min="5" max="29" width="10.83203125" customWidth="1"/>
    <col min="30" max="32" width="8.6640625"/>
    <col min="44" max="44" width="12.6640625" bestFit="1" customWidth="1"/>
  </cols>
  <sheetData>
    <row r="1" spans="1:47" x14ac:dyDescent="0.2">
      <c r="A1" s="7"/>
      <c r="B1" s="8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11"/>
      <c r="AH1" s="10" t="s">
        <v>370</v>
      </c>
      <c r="AI1" s="10"/>
      <c r="AJ1" s="10" t="s">
        <v>372</v>
      </c>
      <c r="AK1" s="10" t="s">
        <v>373</v>
      </c>
      <c r="AL1" s="10"/>
      <c r="AM1" s="10" t="s">
        <v>378</v>
      </c>
      <c r="AN1" s="10" t="s">
        <v>371</v>
      </c>
      <c r="AS1" s="12" t="s">
        <v>379</v>
      </c>
    </row>
    <row r="2" spans="1:47" ht="16" x14ac:dyDescent="0.25">
      <c r="A2" s="9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0.48833074579750868</v>
      </c>
      <c r="AE2">
        <v>1.294272130234661E-2</v>
      </c>
      <c r="AF2">
        <v>2.6504006585146378</v>
      </c>
      <c r="AH2">
        <f t="shared" ref="AH2:AH65" si="0">AD2</f>
        <v>0.48833074579750868</v>
      </c>
      <c r="AJ2">
        <v>0.48878356814384399</v>
      </c>
      <c r="AK2">
        <v>9.1457795351743698E-3</v>
      </c>
      <c r="AL2" s="13"/>
      <c r="AM2" s="11">
        <v>0.49609218239784197</v>
      </c>
      <c r="AN2">
        <v>1.11945073538702E-2</v>
      </c>
      <c r="AS2">
        <v>0.325278365784819</v>
      </c>
      <c r="AU2" s="13"/>
    </row>
    <row r="3" spans="1:47" ht="16" x14ac:dyDescent="0.25">
      <c r="A3" s="9">
        <v>2</v>
      </c>
      <c r="B3">
        <v>1</v>
      </c>
      <c r="C3">
        <v>0</v>
      </c>
      <c r="D3">
        <v>0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1.046107859519753</v>
      </c>
      <c r="AE3">
        <v>0.13564968058771079</v>
      </c>
      <c r="AF3">
        <v>12.96708359021266</v>
      </c>
      <c r="AH3">
        <f t="shared" si="0"/>
        <v>1.046107859519753</v>
      </c>
      <c r="AJ3">
        <v>1.0043464899063099</v>
      </c>
      <c r="AK3">
        <v>2.1579984575510001E-2</v>
      </c>
      <c r="AL3" s="13"/>
      <c r="AM3" s="13">
        <v>0.87069559097289995</v>
      </c>
      <c r="AN3">
        <v>2.1941779360668299E-2</v>
      </c>
      <c r="AS3">
        <v>0.90604907201366602</v>
      </c>
      <c r="AU3" s="13"/>
    </row>
    <row r="4" spans="1:47" ht="16" x14ac:dyDescent="0.25">
      <c r="A4" s="9">
        <v>3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0.50426770864142212</v>
      </c>
      <c r="AE4">
        <v>2.036184534790964E-3</v>
      </c>
      <c r="AF4">
        <v>0.40379038750602753</v>
      </c>
      <c r="AH4">
        <f t="shared" si="0"/>
        <v>0.50426770864142212</v>
      </c>
      <c r="AJ4">
        <v>0.49537673592567399</v>
      </c>
      <c r="AK4">
        <v>6.0240556485950903E-3</v>
      </c>
      <c r="AL4" s="13"/>
      <c r="AM4" s="13">
        <v>0.48484460115432698</v>
      </c>
      <c r="AN4">
        <v>1.4111722492744E-2</v>
      </c>
      <c r="AS4">
        <v>0.330529939672356</v>
      </c>
      <c r="AU4" s="13"/>
    </row>
    <row r="5" spans="1:47" ht="17" thickBot="1" x14ac:dyDescent="0.3">
      <c r="A5" s="9">
        <v>5</v>
      </c>
      <c r="B5">
        <v>1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1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0.51014969327298154</v>
      </c>
      <c r="AE5">
        <v>2.5993188017183928E-2</v>
      </c>
      <c r="AF5">
        <v>5.0952080065791492</v>
      </c>
      <c r="AH5">
        <f t="shared" si="0"/>
        <v>0.51014969327298154</v>
      </c>
      <c r="AJ5">
        <v>0.503012955188751</v>
      </c>
      <c r="AK5">
        <v>9.5462193712592108E-3</v>
      </c>
      <c r="AL5" s="13"/>
      <c r="AM5">
        <v>0.52156606912612902</v>
      </c>
      <c r="AN5">
        <v>8.1359636488516299E-3</v>
      </c>
      <c r="AS5">
        <v>0.373877001284387</v>
      </c>
      <c r="AU5" s="13"/>
    </row>
    <row r="6" spans="1:47" ht="16" x14ac:dyDescent="0.25">
      <c r="A6" s="9">
        <v>7</v>
      </c>
      <c r="B6">
        <v>1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1</v>
      </c>
      <c r="N6">
        <v>1</v>
      </c>
      <c r="O6">
        <v>1</v>
      </c>
      <c r="P6">
        <v>1</v>
      </c>
      <c r="Q6">
        <v>1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0.61398404002864582</v>
      </c>
      <c r="AE6">
        <v>7.9847201489404197E-3</v>
      </c>
      <c r="AF6">
        <v>1.3004768248646801</v>
      </c>
      <c r="AH6">
        <f t="shared" si="0"/>
        <v>0.61398404002864582</v>
      </c>
      <c r="AJ6">
        <v>0.60517007112502996</v>
      </c>
      <c r="AK6">
        <v>9.2136533930897695E-3</v>
      </c>
      <c r="AL6" s="13"/>
      <c r="AM6">
        <v>0.64916617870330795</v>
      </c>
      <c r="AN6">
        <v>1.40517281827217E-2</v>
      </c>
      <c r="AP6" s="18" t="s">
        <v>381</v>
      </c>
      <c r="AQ6" s="18"/>
      <c r="AS6">
        <v>0.39106934227006701</v>
      </c>
      <c r="AU6" s="13"/>
    </row>
    <row r="7" spans="1:47" ht="16" x14ac:dyDescent="0.25">
      <c r="A7" s="9">
        <v>8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0</v>
      </c>
      <c r="V7">
        <v>1</v>
      </c>
      <c r="W7">
        <v>1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0.70099104932274758</v>
      </c>
      <c r="AE7">
        <v>8.3358417933041972E-4</v>
      </c>
      <c r="AF7">
        <v>0.1189150960109655</v>
      </c>
      <c r="AH7">
        <f t="shared" si="0"/>
        <v>0.70099104932274758</v>
      </c>
      <c r="AJ7">
        <v>0.66592907905578602</v>
      </c>
      <c r="AK7">
        <v>1.6740679740905699E-2</v>
      </c>
      <c r="AL7" s="13"/>
      <c r="AM7">
        <v>0.64436365365981996</v>
      </c>
      <c r="AN7">
        <v>3.2027979219602098E-2</v>
      </c>
      <c r="AP7" s="16" t="s">
        <v>374</v>
      </c>
      <c r="AQ7" s="16">
        <v>0.99147619657519492</v>
      </c>
      <c r="AS7">
        <v>0.46654253263601497</v>
      </c>
      <c r="AU7" s="13"/>
    </row>
    <row r="8" spans="1:47" ht="16" x14ac:dyDescent="0.25">
      <c r="A8" s="9">
        <v>11</v>
      </c>
      <c r="B8">
        <v>1</v>
      </c>
      <c r="C8">
        <v>0</v>
      </c>
      <c r="D8">
        <v>0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0</v>
      </c>
      <c r="AB8">
        <v>0</v>
      </c>
      <c r="AC8">
        <v>0</v>
      </c>
      <c r="AD8">
        <v>0.8090858421189342</v>
      </c>
      <c r="AE8">
        <v>7.450924975955997E-2</v>
      </c>
      <c r="AF8">
        <v>9.2090660694823097</v>
      </c>
      <c r="AH8">
        <f t="shared" si="0"/>
        <v>0.8090858421189342</v>
      </c>
      <c r="AJ8">
        <v>0.80435281991958596</v>
      </c>
      <c r="AK8">
        <v>3.8206215947866398E-2</v>
      </c>
      <c r="AL8" s="13"/>
      <c r="AM8">
        <v>0.78244998455047599</v>
      </c>
      <c r="AN8">
        <v>4.4547412803859897E-2</v>
      </c>
      <c r="AP8" s="16" t="s">
        <v>375</v>
      </c>
      <c r="AQ8" s="16">
        <v>0.98302504837521465</v>
      </c>
      <c r="AS8">
        <v>0.76863460024886199</v>
      </c>
      <c r="AU8" s="13"/>
    </row>
    <row r="9" spans="1:47" ht="16" x14ac:dyDescent="0.25">
      <c r="A9" s="9">
        <v>12</v>
      </c>
      <c r="B9">
        <v>1</v>
      </c>
      <c r="C9">
        <v>0</v>
      </c>
      <c r="D9">
        <v>0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0</v>
      </c>
      <c r="Z9">
        <v>0</v>
      </c>
      <c r="AA9">
        <v>1</v>
      </c>
      <c r="AB9">
        <v>1</v>
      </c>
      <c r="AC9">
        <v>1</v>
      </c>
      <c r="AD9">
        <v>0.99257634240671322</v>
      </c>
      <c r="AE9">
        <v>9.9051471933741999E-3</v>
      </c>
      <c r="AF9">
        <v>0.99792295767971417</v>
      </c>
      <c r="AH9">
        <f t="shared" si="0"/>
        <v>0.99257634240671322</v>
      </c>
      <c r="AJ9">
        <v>0.98296469449996904</v>
      </c>
      <c r="AK9">
        <v>1.8503939732909199E-2</v>
      </c>
      <c r="AL9" s="13"/>
      <c r="AM9">
        <v>0.92272368669509797</v>
      </c>
      <c r="AN9">
        <v>5.2290402886855901E-2</v>
      </c>
      <c r="AP9" s="16" t="s">
        <v>376</v>
      </c>
      <c r="AQ9" s="16">
        <v>0.98296398739814705</v>
      </c>
      <c r="AS9">
        <v>0.87180163671783795</v>
      </c>
      <c r="AU9" s="13"/>
    </row>
    <row r="10" spans="1:47" ht="16" x14ac:dyDescent="0.25">
      <c r="A10" s="9">
        <v>14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1</v>
      </c>
      <c r="AC10">
        <v>1</v>
      </c>
      <c r="AD10">
        <v>0.66220015113446673</v>
      </c>
      <c r="AE10">
        <v>1.279854830003236E-2</v>
      </c>
      <c r="AF10">
        <v>1.932731105256646</v>
      </c>
      <c r="AH10">
        <f t="shared" si="0"/>
        <v>0.66220015113446673</v>
      </c>
      <c r="AJ10">
        <v>0.64519792795181197</v>
      </c>
      <c r="AK10">
        <v>8.6544165387749603E-3</v>
      </c>
      <c r="AL10" s="13"/>
      <c r="AM10">
        <v>0.58509911298751804</v>
      </c>
      <c r="AN10">
        <v>2.2100716594274601E-2</v>
      </c>
      <c r="AP10" s="16" t="s">
        <v>377</v>
      </c>
      <c r="AQ10" s="16">
        <v>1.9943069975749447E-2</v>
      </c>
      <c r="AS10">
        <v>0.47105107054411999</v>
      </c>
      <c r="AU10" s="13"/>
    </row>
    <row r="11" spans="1:47" ht="17" thickBot="1" x14ac:dyDescent="0.3">
      <c r="A11" s="9">
        <v>15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1</v>
      </c>
      <c r="AA11">
        <v>1</v>
      </c>
      <c r="AB11">
        <v>1</v>
      </c>
      <c r="AC11">
        <v>1</v>
      </c>
      <c r="AD11">
        <v>0.61553955184225317</v>
      </c>
      <c r="AE11">
        <v>7.6625200412675551E-2</v>
      </c>
      <c r="AF11">
        <v>12.448460896354</v>
      </c>
      <c r="AH11">
        <f t="shared" si="0"/>
        <v>0.61553955184225317</v>
      </c>
      <c r="AJ11">
        <v>0.57788151502609197</v>
      </c>
      <c r="AK11">
        <v>7.2541111148893798E-3</v>
      </c>
      <c r="AL11" s="13"/>
      <c r="AM11">
        <v>0.54139478206634495</v>
      </c>
      <c r="AN11">
        <v>2.4171692329406101E-2</v>
      </c>
      <c r="AP11" s="17" t="s">
        <v>32</v>
      </c>
      <c r="AQ11" s="17">
        <v>280</v>
      </c>
      <c r="AS11">
        <v>0.51356523270784404</v>
      </c>
      <c r="AU11" s="13"/>
    </row>
    <row r="12" spans="1:47" ht="16" x14ac:dyDescent="0.25">
      <c r="A12" s="9">
        <v>18</v>
      </c>
      <c r="B12">
        <v>1</v>
      </c>
      <c r="C12">
        <v>0</v>
      </c>
      <c r="D12">
        <v>0</v>
      </c>
      <c r="E12">
        <v>1</v>
      </c>
      <c r="F12">
        <v>0</v>
      </c>
      <c r="G12">
        <v>1</v>
      </c>
      <c r="H12">
        <v>1</v>
      </c>
      <c r="I12">
        <v>0</v>
      </c>
      <c r="J12">
        <v>1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1</v>
      </c>
      <c r="U12">
        <v>1</v>
      </c>
      <c r="V12">
        <v>1</v>
      </c>
      <c r="W12">
        <v>1</v>
      </c>
      <c r="X12">
        <v>0</v>
      </c>
      <c r="Y12">
        <v>1</v>
      </c>
      <c r="Z12">
        <v>1</v>
      </c>
      <c r="AA12">
        <v>1</v>
      </c>
      <c r="AB12">
        <v>1</v>
      </c>
      <c r="AC12">
        <v>1</v>
      </c>
      <c r="AD12">
        <v>0.64984438748385964</v>
      </c>
      <c r="AE12">
        <v>2.0821699580131181E-3</v>
      </c>
      <c r="AF12">
        <v>0.32041054721963469</v>
      </c>
      <c r="AH12">
        <f t="shared" si="0"/>
        <v>0.64984438748385964</v>
      </c>
      <c r="AJ12">
        <v>0.63328742980956998</v>
      </c>
      <c r="AK12">
        <v>9.2185800895094802E-3</v>
      </c>
      <c r="AL12" s="13"/>
      <c r="AM12">
        <v>0.60787556171417201</v>
      </c>
      <c r="AN12">
        <v>3.1996047720770797E-2</v>
      </c>
      <c r="AS12">
        <v>0.84918728361013995</v>
      </c>
      <c r="AU12" s="13"/>
    </row>
    <row r="13" spans="1:47" ht="17" thickBot="1" x14ac:dyDescent="0.3">
      <c r="A13" s="9">
        <v>19</v>
      </c>
      <c r="B13">
        <v>1</v>
      </c>
      <c r="C13">
        <v>0</v>
      </c>
      <c r="D13">
        <v>0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0</v>
      </c>
      <c r="Y13">
        <v>1</v>
      </c>
      <c r="Z13">
        <v>1</v>
      </c>
      <c r="AA13">
        <v>1</v>
      </c>
      <c r="AB13">
        <v>1</v>
      </c>
      <c r="AC13">
        <v>1</v>
      </c>
      <c r="AD13">
        <v>0.78046175667533335</v>
      </c>
      <c r="AE13">
        <v>2.6038343250464141E-2</v>
      </c>
      <c r="AF13">
        <v>3.3362740746432129</v>
      </c>
      <c r="AH13">
        <f t="shared" si="0"/>
        <v>0.78046175667533335</v>
      </c>
      <c r="AJ13">
        <v>0.79291415214538497</v>
      </c>
      <c r="AK13">
        <v>7.91910570114851E-3</v>
      </c>
      <c r="AL13" s="13"/>
      <c r="AM13">
        <v>0.80098130702972403</v>
      </c>
      <c r="AN13">
        <v>3.8039425832348601E-2</v>
      </c>
      <c r="AS13">
        <v>0.88920782413088195</v>
      </c>
      <c r="AU13" s="13"/>
    </row>
    <row r="14" spans="1:47" ht="16" x14ac:dyDescent="0.25">
      <c r="A14" s="9">
        <v>11</v>
      </c>
      <c r="B14">
        <v>1</v>
      </c>
      <c r="C14">
        <v>0</v>
      </c>
      <c r="D14">
        <v>0</v>
      </c>
      <c r="E14">
        <v>1</v>
      </c>
      <c r="F14">
        <v>0</v>
      </c>
      <c r="G14">
        <v>1</v>
      </c>
      <c r="H14">
        <v>1</v>
      </c>
      <c r="I14">
        <v>0</v>
      </c>
      <c r="J14">
        <v>1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0.56668748806397828</v>
      </c>
      <c r="AE14">
        <v>4.4452682561833979E-3</v>
      </c>
      <c r="AF14">
        <v>0.78443028120669089</v>
      </c>
      <c r="AH14">
        <f t="shared" si="0"/>
        <v>0.56668748806397828</v>
      </c>
      <c r="AJ14">
        <v>0.54585736989974898</v>
      </c>
      <c r="AK14">
        <v>1.5543176792561999E-2</v>
      </c>
      <c r="AL14" s="13"/>
      <c r="AM14">
        <v>0.52848205566406203</v>
      </c>
      <c r="AN14">
        <v>1.23410248192164E-2</v>
      </c>
      <c r="AP14" s="15" t="s">
        <v>380</v>
      </c>
      <c r="AQ14" s="15"/>
      <c r="AS14">
        <v>0.681219030983653</v>
      </c>
      <c r="AU14" s="13"/>
    </row>
    <row r="15" spans="1:47" ht="16" x14ac:dyDescent="0.25">
      <c r="A15" s="9">
        <v>12</v>
      </c>
      <c r="B15">
        <v>1</v>
      </c>
      <c r="C15">
        <v>0</v>
      </c>
      <c r="D15">
        <v>0</v>
      </c>
      <c r="E15">
        <v>1</v>
      </c>
      <c r="F15">
        <v>1</v>
      </c>
      <c r="G15">
        <v>1</v>
      </c>
      <c r="H15">
        <v>1</v>
      </c>
      <c r="I15">
        <v>0</v>
      </c>
      <c r="J15">
        <v>1</v>
      </c>
      <c r="K15">
        <v>1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0.61833377633816888</v>
      </c>
      <c r="AE15">
        <v>7.2754748017715212E-3</v>
      </c>
      <c r="AF15">
        <v>1.176625809584197</v>
      </c>
      <c r="AH15">
        <f t="shared" si="0"/>
        <v>0.61833377633816888</v>
      </c>
      <c r="AJ15">
        <v>0.59104990959167403</v>
      </c>
      <c r="AK15">
        <v>1.0659004561603E-2</v>
      </c>
      <c r="AL15" s="13"/>
      <c r="AM15">
        <v>0.57920839786529499</v>
      </c>
      <c r="AN15">
        <v>2.06325216617139E-2</v>
      </c>
      <c r="AP15" t="s">
        <v>374</v>
      </c>
      <c r="AQ15">
        <v>0.88506074302568039</v>
      </c>
      <c r="AS15">
        <v>0.70654336036312204</v>
      </c>
      <c r="AU15" s="13"/>
    </row>
    <row r="16" spans="1:47" ht="16" x14ac:dyDescent="0.25">
      <c r="A16" s="9">
        <v>13</v>
      </c>
      <c r="B16">
        <v>1</v>
      </c>
      <c r="C16">
        <v>0</v>
      </c>
      <c r="D16">
        <v>0</v>
      </c>
      <c r="E16">
        <v>1</v>
      </c>
      <c r="F16">
        <v>1</v>
      </c>
      <c r="G16">
        <v>1</v>
      </c>
      <c r="H16">
        <v>1</v>
      </c>
      <c r="I16">
        <v>0</v>
      </c>
      <c r="J16">
        <v>1</v>
      </c>
      <c r="K16">
        <v>1</v>
      </c>
      <c r="L16">
        <v>1</v>
      </c>
      <c r="M16">
        <v>0</v>
      </c>
      <c r="N16">
        <v>1</v>
      </c>
      <c r="O16">
        <v>1</v>
      </c>
      <c r="P16">
        <v>0</v>
      </c>
      <c r="Q16">
        <v>0</v>
      </c>
      <c r="R16">
        <v>0</v>
      </c>
      <c r="S16">
        <v>1</v>
      </c>
      <c r="T16">
        <v>1</v>
      </c>
      <c r="U16">
        <v>1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0.69283823321435922</v>
      </c>
      <c r="AE16">
        <v>7.7279653570898983E-3</v>
      </c>
      <c r="AF16">
        <v>1.1154068852748951</v>
      </c>
      <c r="AH16">
        <f t="shared" si="0"/>
        <v>0.69283823321435922</v>
      </c>
      <c r="AJ16">
        <v>0.68813019990920998</v>
      </c>
      <c r="AK16">
        <v>1.8203554674983E-2</v>
      </c>
      <c r="AL16" s="13"/>
      <c r="AM16">
        <v>0.71147158145904499</v>
      </c>
      <c r="AN16">
        <v>1.9077718342601999E-2</v>
      </c>
      <c r="AP16" t="s">
        <v>375</v>
      </c>
      <c r="AQ16">
        <v>0.78333251884516952</v>
      </c>
      <c r="AS16">
        <v>0.70903794266828701</v>
      </c>
      <c r="AU16" s="13"/>
    </row>
    <row r="17" spans="1:47" ht="16" x14ac:dyDescent="0.25">
      <c r="A17" s="9">
        <v>14</v>
      </c>
      <c r="B17">
        <v>1</v>
      </c>
      <c r="C17">
        <v>0</v>
      </c>
      <c r="D17">
        <v>0</v>
      </c>
      <c r="E17">
        <v>1</v>
      </c>
      <c r="F17">
        <v>1</v>
      </c>
      <c r="G17">
        <v>1</v>
      </c>
      <c r="H17">
        <v>1</v>
      </c>
      <c r="I17">
        <v>0</v>
      </c>
      <c r="J17">
        <v>1</v>
      </c>
      <c r="K17">
        <v>1</v>
      </c>
      <c r="L17">
        <v>1</v>
      </c>
      <c r="M17">
        <v>0</v>
      </c>
      <c r="N17">
        <v>1</v>
      </c>
      <c r="O17">
        <v>1</v>
      </c>
      <c r="P17">
        <v>1</v>
      </c>
      <c r="Q17">
        <v>0</v>
      </c>
      <c r="R17">
        <v>0</v>
      </c>
      <c r="S17">
        <v>1</v>
      </c>
      <c r="T17">
        <v>1</v>
      </c>
      <c r="U17">
        <v>1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0.71449591853721695</v>
      </c>
      <c r="AE17">
        <v>9.8694181004846913E-3</v>
      </c>
      <c r="AF17">
        <v>1.381312033340973</v>
      </c>
      <c r="AH17">
        <f t="shared" si="0"/>
        <v>0.71449591853721695</v>
      </c>
      <c r="AJ17">
        <v>0.67971926927566495</v>
      </c>
      <c r="AK17">
        <v>1.23389074578881E-2</v>
      </c>
      <c r="AL17" s="13"/>
      <c r="AM17">
        <v>0.69711579084396302</v>
      </c>
      <c r="AN17">
        <v>3.54377733683948E-2</v>
      </c>
      <c r="AP17" t="s">
        <v>376</v>
      </c>
      <c r="AQ17">
        <v>0.78255313941655502</v>
      </c>
      <c r="AS17">
        <v>0.71164767443409305</v>
      </c>
      <c r="AU17" s="13"/>
    </row>
    <row r="18" spans="1:47" ht="16" x14ac:dyDescent="0.25">
      <c r="A18" s="9">
        <v>15</v>
      </c>
      <c r="B18">
        <v>1</v>
      </c>
      <c r="C18">
        <v>0</v>
      </c>
      <c r="D18">
        <v>0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0</v>
      </c>
      <c r="N18">
        <v>1</v>
      </c>
      <c r="O18">
        <v>1</v>
      </c>
      <c r="P18">
        <v>1</v>
      </c>
      <c r="Q18">
        <v>1</v>
      </c>
      <c r="R18">
        <v>0</v>
      </c>
      <c r="S18">
        <v>1</v>
      </c>
      <c r="T18">
        <v>1</v>
      </c>
      <c r="U18">
        <v>1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0.81047235421136421</v>
      </c>
      <c r="AE18">
        <v>8.8868664621583552E-3</v>
      </c>
      <c r="AF18">
        <v>1.0965045773591851</v>
      </c>
      <c r="AH18">
        <f t="shared" si="0"/>
        <v>0.81047235421136421</v>
      </c>
      <c r="AJ18">
        <v>0.78650760650634699</v>
      </c>
      <c r="AK18">
        <v>1.7535263672471001E-2</v>
      </c>
      <c r="AL18" s="13"/>
      <c r="AM18">
        <v>0.778963923454284</v>
      </c>
      <c r="AN18">
        <v>1.1030959145495E-2</v>
      </c>
      <c r="AP18" t="s">
        <v>377</v>
      </c>
      <c r="AQ18">
        <v>6.732147676993222E-2</v>
      </c>
      <c r="AS18">
        <v>0.71631452752501601</v>
      </c>
      <c r="AU18" s="13"/>
    </row>
    <row r="19" spans="1:47" ht="17" thickBot="1" x14ac:dyDescent="0.3">
      <c r="A19" s="9">
        <v>16</v>
      </c>
      <c r="B19">
        <v>1</v>
      </c>
      <c r="C19">
        <v>0</v>
      </c>
      <c r="D19">
        <v>0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0</v>
      </c>
      <c r="S19">
        <v>1</v>
      </c>
      <c r="T19">
        <v>1</v>
      </c>
      <c r="U19">
        <v>1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0.77539254520150536</v>
      </c>
      <c r="AE19">
        <v>2.356014299132036E-3</v>
      </c>
      <c r="AF19">
        <v>0.30384794304667528</v>
      </c>
      <c r="AH19">
        <f t="shared" si="0"/>
        <v>0.77539254520150536</v>
      </c>
      <c r="AJ19">
        <v>0.77093344926834095</v>
      </c>
      <c r="AK19">
        <v>2.4364395067095701E-2</v>
      </c>
      <c r="AL19" s="13"/>
      <c r="AM19">
        <v>0.80402915477752601</v>
      </c>
      <c r="AN19">
        <v>1.56425638577046E-2</v>
      </c>
      <c r="AP19" s="14" t="s">
        <v>32</v>
      </c>
      <c r="AQ19" s="14">
        <v>280</v>
      </c>
      <c r="AS19">
        <v>0.72252210044165699</v>
      </c>
      <c r="AU19" s="13"/>
    </row>
    <row r="20" spans="1:47" ht="16" x14ac:dyDescent="0.25">
      <c r="A20" s="9">
        <v>17</v>
      </c>
      <c r="B20">
        <v>1</v>
      </c>
      <c r="C20">
        <v>0</v>
      </c>
      <c r="D20">
        <v>0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0.89535173110766131</v>
      </c>
      <c r="AE20">
        <v>1.996712324977687E-3</v>
      </c>
      <c r="AF20">
        <v>0.22300870770725001</v>
      </c>
      <c r="AH20">
        <f t="shared" si="0"/>
        <v>0.89535173110766131</v>
      </c>
      <c r="AJ20">
        <v>0.84086114168167103</v>
      </c>
      <c r="AK20">
        <v>2.4445518851280199E-2</v>
      </c>
      <c r="AL20" s="13"/>
      <c r="AM20">
        <v>0.84969168901443404</v>
      </c>
      <c r="AN20">
        <v>2.0908330886341E-2</v>
      </c>
      <c r="AS20">
        <v>0.73652124088385096</v>
      </c>
      <c r="AU20" s="13"/>
    </row>
    <row r="21" spans="1:47" ht="16" x14ac:dyDescent="0.25">
      <c r="A21" s="9">
        <v>18</v>
      </c>
      <c r="B21">
        <v>1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1</v>
      </c>
      <c r="J21">
        <v>1</v>
      </c>
      <c r="K21">
        <v>1</v>
      </c>
      <c r="L21">
        <v>0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0</v>
      </c>
      <c r="U21">
        <v>0</v>
      </c>
      <c r="V21">
        <v>1</v>
      </c>
      <c r="W21">
        <v>1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0.71727603293879927</v>
      </c>
      <c r="AE21">
        <v>8.2142811712026149E-3</v>
      </c>
      <c r="AF21">
        <v>1.145205024842018</v>
      </c>
      <c r="AH21">
        <f t="shared" si="0"/>
        <v>0.71727603293879927</v>
      </c>
      <c r="AJ21">
        <v>0.69458967447280795</v>
      </c>
      <c r="AK21">
        <v>2.1348116919398301E-2</v>
      </c>
      <c r="AL21" s="13"/>
      <c r="AM21">
        <v>0.69957287311553895</v>
      </c>
      <c r="AN21">
        <v>2.4223199209940201E-2</v>
      </c>
      <c r="AS21">
        <v>0.57225134267558198</v>
      </c>
      <c r="AU21" s="13"/>
    </row>
    <row r="22" spans="1:47" ht="16" x14ac:dyDescent="0.25">
      <c r="A22" s="9">
        <v>20</v>
      </c>
      <c r="B22">
        <v>1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0.79114492981941831</v>
      </c>
      <c r="AE22">
        <v>5.8936630547841134E-3</v>
      </c>
      <c r="AF22">
        <v>0.74495365294565719</v>
      </c>
      <c r="AH22">
        <f t="shared" si="0"/>
        <v>0.79114492981941831</v>
      </c>
      <c r="AJ22">
        <v>0.77894288301467896</v>
      </c>
      <c r="AK22">
        <v>2.2476838901638901E-2</v>
      </c>
      <c r="AL22" s="13"/>
      <c r="AM22">
        <v>0.82078682184219298</v>
      </c>
      <c r="AN22">
        <v>4.2385788927599401E-2</v>
      </c>
      <c r="AS22">
        <v>0.63177377264448198</v>
      </c>
      <c r="AU22" s="13"/>
    </row>
    <row r="23" spans="1:47" ht="16" x14ac:dyDescent="0.25">
      <c r="A23" s="9">
        <v>21</v>
      </c>
      <c r="B23">
        <v>1</v>
      </c>
      <c r="C23">
        <v>0</v>
      </c>
      <c r="D23">
        <v>0</v>
      </c>
      <c r="E23">
        <v>1</v>
      </c>
      <c r="F23">
        <v>1</v>
      </c>
      <c r="G23">
        <v>1</v>
      </c>
      <c r="H23">
        <v>1</v>
      </c>
      <c r="I23">
        <v>1</v>
      </c>
      <c r="J23">
        <v>0</v>
      </c>
      <c r="K23">
        <v>0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0.79328377247140092</v>
      </c>
      <c r="AE23">
        <v>1.5457630803294761E-2</v>
      </c>
      <c r="AF23">
        <v>1.9485625875262731</v>
      </c>
      <c r="AH23">
        <f t="shared" si="0"/>
        <v>0.79328377247140092</v>
      </c>
      <c r="AJ23">
        <v>0.78349143266677801</v>
      </c>
      <c r="AK23">
        <v>2.1271973848342798E-2</v>
      </c>
      <c r="AL23" s="13"/>
      <c r="AM23">
        <v>0.82129701375961295</v>
      </c>
      <c r="AN23">
        <v>2.4296020112585599E-2</v>
      </c>
      <c r="AS23">
        <v>0.702223437388523</v>
      </c>
      <c r="AU23" s="13"/>
    </row>
    <row r="24" spans="1:47" ht="16" x14ac:dyDescent="0.25">
      <c r="A24" s="9">
        <v>22</v>
      </c>
      <c r="B24">
        <v>1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1</v>
      </c>
      <c r="J24">
        <v>0</v>
      </c>
      <c r="K24">
        <v>0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0.73468166680242442</v>
      </c>
      <c r="AE24">
        <v>1.545054726564961E-2</v>
      </c>
      <c r="AF24">
        <v>2.1030261082865258</v>
      </c>
      <c r="AH24">
        <f t="shared" si="0"/>
        <v>0.73468166680242442</v>
      </c>
      <c r="AJ24">
        <v>0.73574954271316495</v>
      </c>
      <c r="AK24">
        <v>1.1332160793244801E-2</v>
      </c>
      <c r="AL24" s="13"/>
      <c r="AM24">
        <v>0.79303370714187604</v>
      </c>
      <c r="AN24">
        <v>1.8480014497922199E-2</v>
      </c>
      <c r="AS24">
        <v>0.52035671357633695</v>
      </c>
      <c r="AU24" s="13"/>
    </row>
    <row r="25" spans="1:47" ht="16" x14ac:dyDescent="0.25">
      <c r="A25" s="9">
        <v>23</v>
      </c>
      <c r="B25">
        <v>1</v>
      </c>
      <c r="C25">
        <v>0</v>
      </c>
      <c r="D25">
        <v>0</v>
      </c>
      <c r="E25">
        <v>1</v>
      </c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0</v>
      </c>
      <c r="O25">
        <v>0</v>
      </c>
      <c r="P25">
        <v>0</v>
      </c>
      <c r="Q25">
        <v>1</v>
      </c>
      <c r="R25">
        <v>1</v>
      </c>
      <c r="S25">
        <v>0</v>
      </c>
      <c r="T25">
        <v>1</v>
      </c>
      <c r="U25">
        <v>1</v>
      </c>
      <c r="V25">
        <v>1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0.82911231565100518</v>
      </c>
      <c r="AE25">
        <v>0.1095793548520949</v>
      </c>
      <c r="AF25">
        <v>13.21646691088589</v>
      </c>
      <c r="AH25">
        <f t="shared" si="0"/>
        <v>0.82911231565100518</v>
      </c>
      <c r="AJ25">
        <v>0.75271153450012196</v>
      </c>
      <c r="AK25">
        <v>1.9963832572102502E-2</v>
      </c>
      <c r="AL25" s="13"/>
      <c r="AM25">
        <v>0.71883296966552701</v>
      </c>
      <c r="AN25">
        <v>3.4820215219911202E-2</v>
      </c>
      <c r="AS25">
        <v>0.70471090872236597</v>
      </c>
      <c r="AU25" s="13"/>
    </row>
    <row r="26" spans="1:47" ht="16" x14ac:dyDescent="0.25">
      <c r="A26" s="9">
        <v>25</v>
      </c>
      <c r="B26">
        <v>1</v>
      </c>
      <c r="C26">
        <v>0</v>
      </c>
      <c r="D26">
        <v>0</v>
      </c>
      <c r="E26">
        <v>1</v>
      </c>
      <c r="F26">
        <v>1</v>
      </c>
      <c r="G26">
        <v>1</v>
      </c>
      <c r="H26">
        <v>1</v>
      </c>
      <c r="I26">
        <v>0</v>
      </c>
      <c r="J26">
        <v>1</v>
      </c>
      <c r="K26">
        <v>1</v>
      </c>
      <c r="L26">
        <v>0</v>
      </c>
      <c r="M26">
        <v>0</v>
      </c>
      <c r="N26">
        <v>1</v>
      </c>
      <c r="O26">
        <v>1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0.67482654845865475</v>
      </c>
      <c r="AE26">
        <v>1.5412690854560329E-3</v>
      </c>
      <c r="AF26">
        <v>0.22839485034730569</v>
      </c>
      <c r="AH26">
        <f t="shared" si="0"/>
        <v>0.67482654845865475</v>
      </c>
      <c r="AJ26">
        <v>0.64514249563217096</v>
      </c>
      <c r="AK26">
        <v>1.3506894931197101E-2</v>
      </c>
      <c r="AL26" s="13"/>
      <c r="AM26" s="13">
        <v>0.62054142951965297</v>
      </c>
      <c r="AN26">
        <v>1.78320443711103E-2</v>
      </c>
      <c r="AS26">
        <v>0.60475571687948004</v>
      </c>
      <c r="AU26" s="13"/>
    </row>
    <row r="27" spans="1:47" ht="16" x14ac:dyDescent="0.25">
      <c r="A27" s="9">
        <v>26</v>
      </c>
      <c r="B27">
        <v>1</v>
      </c>
      <c r="C27">
        <v>0</v>
      </c>
      <c r="D27">
        <v>0</v>
      </c>
      <c r="E27">
        <v>1</v>
      </c>
      <c r="F27">
        <v>0</v>
      </c>
      <c r="G27">
        <v>1</v>
      </c>
      <c r="H27">
        <v>1</v>
      </c>
      <c r="I27">
        <v>1</v>
      </c>
      <c r="J27">
        <v>1</v>
      </c>
      <c r="K27">
        <v>1</v>
      </c>
      <c r="L27">
        <v>0</v>
      </c>
      <c r="M27">
        <v>1</v>
      </c>
      <c r="N27">
        <v>0</v>
      </c>
      <c r="O27">
        <v>0</v>
      </c>
      <c r="P27">
        <v>0</v>
      </c>
      <c r="Q27">
        <v>1</v>
      </c>
      <c r="R27">
        <v>1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0.71249366801890412</v>
      </c>
      <c r="AE27">
        <v>8.3843310799998863E-2</v>
      </c>
      <c r="AF27">
        <v>11.76758679598179</v>
      </c>
      <c r="AH27">
        <f t="shared" si="0"/>
        <v>0.71249366801890412</v>
      </c>
      <c r="AJ27">
        <v>0.68422555923461903</v>
      </c>
      <c r="AK27">
        <v>2.18190271407365E-2</v>
      </c>
      <c r="AL27" s="13"/>
      <c r="AM27" s="13">
        <v>0.67092908620834302</v>
      </c>
      <c r="AN27">
        <v>1.7053216227239699E-2</v>
      </c>
      <c r="AS27">
        <v>0.60676202858595496</v>
      </c>
      <c r="AU27" s="13"/>
    </row>
    <row r="28" spans="1:47" ht="16" x14ac:dyDescent="0.25">
      <c r="A28" s="9">
        <v>27</v>
      </c>
      <c r="B28">
        <v>1</v>
      </c>
      <c r="C28">
        <v>0</v>
      </c>
      <c r="D28">
        <v>0</v>
      </c>
      <c r="E28">
        <v>1</v>
      </c>
      <c r="F28">
        <v>1</v>
      </c>
      <c r="G28">
        <v>1</v>
      </c>
      <c r="H28">
        <v>1</v>
      </c>
      <c r="I28">
        <v>0</v>
      </c>
      <c r="J28">
        <v>0</v>
      </c>
      <c r="K28">
        <v>0</v>
      </c>
      <c r="L28">
        <v>1</v>
      </c>
      <c r="M28">
        <v>0</v>
      </c>
      <c r="N28">
        <v>1</v>
      </c>
      <c r="O28">
        <v>1</v>
      </c>
      <c r="P28">
        <v>1</v>
      </c>
      <c r="Q28">
        <v>0</v>
      </c>
      <c r="R28">
        <v>0</v>
      </c>
      <c r="S28">
        <v>1</v>
      </c>
      <c r="T28">
        <v>1</v>
      </c>
      <c r="U28">
        <v>1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0.51112711556377022</v>
      </c>
      <c r="AE28">
        <v>9.9003637157663894E-3</v>
      </c>
      <c r="AF28">
        <v>1.9369670311555169</v>
      </c>
      <c r="AH28">
        <f t="shared" si="0"/>
        <v>0.51112711556377022</v>
      </c>
      <c r="AJ28">
        <v>0.51432126760482699</v>
      </c>
      <c r="AK28">
        <v>2.3525500670075399E-2</v>
      </c>
      <c r="AL28" s="13"/>
      <c r="AM28" s="13">
        <v>0.60126922130584703</v>
      </c>
      <c r="AN28">
        <v>3.2642040608962399E-2</v>
      </c>
      <c r="AS28">
        <v>0.67512269387888801</v>
      </c>
      <c r="AU28" s="13"/>
    </row>
    <row r="29" spans="1:47" ht="16" x14ac:dyDescent="0.25">
      <c r="A29" s="9">
        <v>28</v>
      </c>
      <c r="B29">
        <v>1</v>
      </c>
      <c r="C29">
        <v>0</v>
      </c>
      <c r="D29">
        <v>0</v>
      </c>
      <c r="E29">
        <v>1</v>
      </c>
      <c r="F29">
        <v>0</v>
      </c>
      <c r="G29">
        <v>1</v>
      </c>
      <c r="H29">
        <v>1</v>
      </c>
      <c r="I29">
        <v>1</v>
      </c>
      <c r="J29">
        <v>0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>
        <v>1</v>
      </c>
      <c r="R29">
        <v>1</v>
      </c>
      <c r="S29">
        <v>0</v>
      </c>
      <c r="T29">
        <v>1</v>
      </c>
      <c r="U29">
        <v>1</v>
      </c>
      <c r="V29">
        <v>1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0.75422542448834473</v>
      </c>
      <c r="AE29">
        <v>1.6483084154857709E-2</v>
      </c>
      <c r="AF29">
        <v>2.185432049846316</v>
      </c>
      <c r="AH29">
        <f t="shared" si="0"/>
        <v>0.75422542448834473</v>
      </c>
      <c r="AJ29">
        <v>0.77281719446182195</v>
      </c>
      <c r="AK29">
        <v>3.3066678792238201E-2</v>
      </c>
      <c r="AL29" s="13"/>
      <c r="AM29" s="13">
        <v>0.74600479602813696</v>
      </c>
      <c r="AN29">
        <v>4.1096180624022698E-2</v>
      </c>
      <c r="AS29">
        <v>0.66391148768484398</v>
      </c>
      <c r="AU29" s="13"/>
    </row>
    <row r="30" spans="1:47" ht="16" x14ac:dyDescent="0.25">
      <c r="A30" s="9">
        <v>29</v>
      </c>
      <c r="B30">
        <v>1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1</v>
      </c>
      <c r="K30">
        <v>1</v>
      </c>
      <c r="L30">
        <v>1</v>
      </c>
      <c r="M30">
        <v>0</v>
      </c>
      <c r="N30">
        <v>1</v>
      </c>
      <c r="O30">
        <v>1</v>
      </c>
      <c r="P30">
        <v>1</v>
      </c>
      <c r="Q30">
        <v>0</v>
      </c>
      <c r="R30">
        <v>0</v>
      </c>
      <c r="S30">
        <v>1</v>
      </c>
      <c r="T30">
        <v>1</v>
      </c>
      <c r="U30">
        <v>1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0.69907952709136456</v>
      </c>
      <c r="AE30">
        <v>1.0982166216606699E-2</v>
      </c>
      <c r="AF30">
        <v>1.5709466220960311</v>
      </c>
      <c r="AH30">
        <f t="shared" si="0"/>
        <v>0.69907952709136456</v>
      </c>
      <c r="AJ30">
        <v>0.66696429252624501</v>
      </c>
      <c r="AK30">
        <v>9.8265474662184698E-3</v>
      </c>
      <c r="AL30" s="13"/>
      <c r="AM30" s="13">
        <v>0.68934712409973098</v>
      </c>
      <c r="AN30">
        <v>2.3921226322701401E-2</v>
      </c>
      <c r="AS30">
        <v>0.60935474248441601</v>
      </c>
      <c r="AU30" s="13"/>
    </row>
    <row r="31" spans="1:47" ht="16" x14ac:dyDescent="0.25">
      <c r="A31" s="9">
        <v>30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0</v>
      </c>
      <c r="O31">
        <v>0</v>
      </c>
      <c r="P31">
        <v>0</v>
      </c>
      <c r="Q31">
        <v>1</v>
      </c>
      <c r="R31">
        <v>1</v>
      </c>
      <c r="S31">
        <v>0</v>
      </c>
      <c r="T31">
        <v>1</v>
      </c>
      <c r="U31">
        <v>1</v>
      </c>
      <c r="V31">
        <v>1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0.71728224953341591</v>
      </c>
      <c r="AE31">
        <v>2.6390732279320581E-2</v>
      </c>
      <c r="AF31">
        <v>3.679267442696017</v>
      </c>
      <c r="AH31">
        <f t="shared" si="0"/>
        <v>0.71728224953341591</v>
      </c>
      <c r="AJ31">
        <v>0.68522185087203902</v>
      </c>
      <c r="AK31">
        <v>1.39236329123377E-2</v>
      </c>
      <c r="AL31" s="13"/>
      <c r="AM31" s="13">
        <v>0.69231077432632404</v>
      </c>
      <c r="AN31">
        <v>2.7736493441871301E-2</v>
      </c>
      <c r="AS31">
        <v>0.59260899077614004</v>
      </c>
      <c r="AU31" s="13"/>
    </row>
    <row r="32" spans="1:47" ht="16" x14ac:dyDescent="0.25">
      <c r="A32" s="9" t="s">
        <v>37</v>
      </c>
      <c r="B32">
        <v>1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1</v>
      </c>
      <c r="Q32">
        <v>1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0.59592276002590816</v>
      </c>
      <c r="AE32">
        <v>1.4773616102523609E-2</v>
      </c>
      <c r="AF32">
        <v>2.4791159347364609</v>
      </c>
      <c r="AH32">
        <f t="shared" si="0"/>
        <v>0.59592276002590816</v>
      </c>
      <c r="AJ32">
        <v>0.58820879459381104</v>
      </c>
      <c r="AK32">
        <v>9.9677974358200992E-3</v>
      </c>
      <c r="AL32" s="13"/>
      <c r="AM32" s="13">
        <v>0.64100049734115605</v>
      </c>
      <c r="AN32">
        <v>1.26023997421797E-2</v>
      </c>
      <c r="AS32">
        <v>0.38012573374951197</v>
      </c>
      <c r="AU32" s="13"/>
    </row>
    <row r="33" spans="1:47" ht="16" x14ac:dyDescent="0.25">
      <c r="A33" s="9" t="s">
        <v>38</v>
      </c>
      <c r="B33">
        <v>1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1</v>
      </c>
      <c r="J33">
        <v>1</v>
      </c>
      <c r="K33">
        <v>1</v>
      </c>
      <c r="L33">
        <v>0</v>
      </c>
      <c r="M33">
        <v>1</v>
      </c>
      <c r="N33">
        <v>0</v>
      </c>
      <c r="O33">
        <v>0</v>
      </c>
      <c r="P33">
        <v>1</v>
      </c>
      <c r="Q33">
        <v>1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0.67468208153569986</v>
      </c>
      <c r="AE33">
        <v>4.8683894411408824E-3</v>
      </c>
      <c r="AF33">
        <v>0.72158273865218669</v>
      </c>
      <c r="AH33">
        <f t="shared" si="0"/>
        <v>0.67468208153569986</v>
      </c>
      <c r="AJ33">
        <v>0.64905446767806996</v>
      </c>
      <c r="AK33">
        <v>1.1013912968337499E-2</v>
      </c>
      <c r="AL33" s="13"/>
      <c r="AM33" s="13">
        <v>0.64254432916641202</v>
      </c>
      <c r="AN33">
        <v>2.3378499695437101E-2</v>
      </c>
      <c r="AS33">
        <v>0.51682933778703199</v>
      </c>
      <c r="AU33" s="13"/>
    </row>
    <row r="34" spans="1:47" ht="16" x14ac:dyDescent="0.25">
      <c r="A34" s="9" t="s">
        <v>39</v>
      </c>
      <c r="B34">
        <v>1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1</v>
      </c>
      <c r="J34">
        <v>1</v>
      </c>
      <c r="K34">
        <v>1</v>
      </c>
      <c r="L34">
        <v>0</v>
      </c>
      <c r="M34">
        <v>1</v>
      </c>
      <c r="N34">
        <v>1</v>
      </c>
      <c r="O34">
        <v>1</v>
      </c>
      <c r="P34">
        <v>1</v>
      </c>
      <c r="Q34">
        <v>1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0.69869659079569546</v>
      </c>
      <c r="AE34">
        <v>2.527678793962157E-2</v>
      </c>
      <c r="AF34">
        <v>3.617705921655586</v>
      </c>
      <c r="AH34">
        <f t="shared" si="0"/>
        <v>0.69869659079569546</v>
      </c>
      <c r="AJ34">
        <v>0.67631191015243497</v>
      </c>
      <c r="AK34">
        <v>7.1802888996899102E-3</v>
      </c>
      <c r="AL34" s="13"/>
      <c r="AM34" s="13">
        <v>0.67190080881118697</v>
      </c>
      <c r="AN34">
        <v>1.7377308233438301E-2</v>
      </c>
      <c r="AS34">
        <v>0.52753356340999402</v>
      </c>
      <c r="AU34" s="13"/>
    </row>
    <row r="35" spans="1:47" ht="16" x14ac:dyDescent="0.25">
      <c r="A35" s="9" t="s">
        <v>40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0</v>
      </c>
      <c r="S35">
        <v>1</v>
      </c>
      <c r="T35">
        <v>1</v>
      </c>
      <c r="U35">
        <v>1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0.79235793636783725</v>
      </c>
      <c r="AE35">
        <v>8.5253542053357802E-3</v>
      </c>
      <c r="AF35">
        <v>1.075947348292609</v>
      </c>
      <c r="AH35">
        <f t="shared" si="0"/>
        <v>0.79235793636783725</v>
      </c>
      <c r="AJ35">
        <v>0.74853634834289495</v>
      </c>
      <c r="AK35">
        <v>1.7270479351282099E-2</v>
      </c>
      <c r="AL35" s="13"/>
      <c r="AM35" s="13">
        <v>0.76001312732696502</v>
      </c>
      <c r="AN35">
        <v>1.6477192439419499E-2</v>
      </c>
      <c r="AS35">
        <v>0.621956309645051</v>
      </c>
      <c r="AU35" s="13"/>
    </row>
    <row r="36" spans="1:47" ht="16" x14ac:dyDescent="0.25">
      <c r="A36" s="9" t="s">
        <v>43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1</v>
      </c>
      <c r="Q36">
        <v>0</v>
      </c>
      <c r="R36">
        <v>1</v>
      </c>
      <c r="S36">
        <v>0</v>
      </c>
      <c r="T36">
        <v>0</v>
      </c>
      <c r="U36">
        <v>0</v>
      </c>
      <c r="V36">
        <v>1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0.52113947351589796</v>
      </c>
      <c r="AE36">
        <v>4.4276436015314749E-4</v>
      </c>
      <c r="AF36">
        <v>8.4960818102304145E-2</v>
      </c>
      <c r="AH36">
        <f t="shared" si="0"/>
        <v>0.52113947351589796</v>
      </c>
      <c r="AJ36">
        <v>0.50625920295715299</v>
      </c>
      <c r="AK36">
        <v>6.7639066837727998E-3</v>
      </c>
      <c r="AL36" s="13"/>
      <c r="AM36" s="13">
        <v>0.458194386959075</v>
      </c>
      <c r="AN36">
        <v>1.35526417826088E-2</v>
      </c>
      <c r="AS36">
        <v>0.40117509954545699</v>
      </c>
      <c r="AU36" s="13"/>
    </row>
    <row r="37" spans="1:47" ht="16" x14ac:dyDescent="0.25">
      <c r="A37" s="9" t="s">
        <v>44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1</v>
      </c>
      <c r="Q37">
        <v>1</v>
      </c>
      <c r="R37">
        <v>1</v>
      </c>
      <c r="S37">
        <v>0</v>
      </c>
      <c r="T37">
        <v>0</v>
      </c>
      <c r="U37">
        <v>0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0.55643477779731154</v>
      </c>
      <c r="AE37">
        <v>2.217291393649267E-3</v>
      </c>
      <c r="AF37">
        <v>0.3984818135247728</v>
      </c>
      <c r="AH37">
        <f t="shared" si="0"/>
        <v>0.55643477779731154</v>
      </c>
      <c r="AJ37">
        <v>0.58183574676513605</v>
      </c>
      <c r="AK37">
        <v>6.32170354947447E-3</v>
      </c>
      <c r="AL37" s="13"/>
      <c r="AM37" s="13">
        <v>0.63599029779434202</v>
      </c>
      <c r="AN37">
        <v>3.2085434994996602E-2</v>
      </c>
      <c r="AS37">
        <v>0.40972899920155298</v>
      </c>
      <c r="AU37" s="13"/>
    </row>
    <row r="38" spans="1:47" ht="16" x14ac:dyDescent="0.25">
      <c r="A38" s="9" t="s">
        <v>45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0</v>
      </c>
      <c r="T38">
        <v>0</v>
      </c>
      <c r="U38">
        <v>0</v>
      </c>
      <c r="V38">
        <v>1</v>
      </c>
      <c r="W38">
        <v>1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0.58615225102100565</v>
      </c>
      <c r="AE38">
        <v>1.30730254302091E-2</v>
      </c>
      <c r="AF38">
        <v>2.2303122452293729</v>
      </c>
      <c r="AH38">
        <f t="shared" si="0"/>
        <v>0.58615225102100565</v>
      </c>
      <c r="AJ38">
        <v>0.58367550373077304</v>
      </c>
      <c r="AK38">
        <v>4.7067073173820903E-3</v>
      </c>
      <c r="AL38" s="13"/>
      <c r="AM38" s="13">
        <v>0.60762751102447499</v>
      </c>
      <c r="AN38">
        <v>4.9079575196453701E-2</v>
      </c>
      <c r="AS38">
        <v>0.425095348014283</v>
      </c>
      <c r="AU38" s="13"/>
    </row>
    <row r="39" spans="1:47" ht="16" x14ac:dyDescent="0.25">
      <c r="A39" s="9" t="s">
        <v>49</v>
      </c>
      <c r="B39">
        <v>1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1</v>
      </c>
      <c r="J39">
        <v>1</v>
      </c>
      <c r="K39">
        <v>1</v>
      </c>
      <c r="L39">
        <v>0</v>
      </c>
      <c r="M39">
        <v>1</v>
      </c>
      <c r="N39">
        <v>0</v>
      </c>
      <c r="O39">
        <v>0</v>
      </c>
      <c r="P39">
        <v>1</v>
      </c>
      <c r="Q39">
        <v>1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1</v>
      </c>
      <c r="AA39">
        <v>1</v>
      </c>
      <c r="AB39">
        <v>1</v>
      </c>
      <c r="AC39">
        <v>1</v>
      </c>
      <c r="AD39">
        <v>0.78318014552348014</v>
      </c>
      <c r="AE39">
        <v>1.025669759223596E-2</v>
      </c>
      <c r="AF39">
        <v>1.309621758271253</v>
      </c>
      <c r="AH39">
        <f t="shared" si="0"/>
        <v>0.78318014552348014</v>
      </c>
      <c r="AJ39">
        <v>0.76141995191574097</v>
      </c>
      <c r="AK39">
        <v>2.5697553530335399E-2</v>
      </c>
      <c r="AL39" s="13"/>
      <c r="AM39" s="13">
        <v>0.74042202234268095</v>
      </c>
      <c r="AN39">
        <v>4.4800566311209503E-2</v>
      </c>
      <c r="AS39">
        <v>0.69748304318457099</v>
      </c>
      <c r="AU39" s="13"/>
    </row>
    <row r="40" spans="1:47" ht="16" x14ac:dyDescent="0.25">
      <c r="A40" s="9" t="s">
        <v>50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0</v>
      </c>
      <c r="T40">
        <v>0</v>
      </c>
      <c r="U40">
        <v>0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0.65773305768043011</v>
      </c>
      <c r="AE40">
        <v>5.0689870632973427E-3</v>
      </c>
      <c r="AF40">
        <v>0.77067542890024376</v>
      </c>
      <c r="AH40">
        <f t="shared" si="0"/>
        <v>0.65773305768043011</v>
      </c>
      <c r="AJ40">
        <v>0.66626840829849199</v>
      </c>
      <c r="AK40">
        <v>5.5186673998832703E-3</v>
      </c>
      <c r="AL40" s="13"/>
      <c r="AM40" s="13">
        <v>0.65343682765960698</v>
      </c>
      <c r="AN40">
        <v>2.4560561009013701E-2</v>
      </c>
      <c r="AS40">
        <v>0.57677938078697499</v>
      </c>
      <c r="AU40" s="13"/>
    </row>
    <row r="41" spans="1:47" ht="16" x14ac:dyDescent="0.25">
      <c r="A41" s="9" t="s">
        <v>51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1</v>
      </c>
      <c r="AA41">
        <v>1</v>
      </c>
      <c r="AB41">
        <v>1</v>
      </c>
      <c r="AC41">
        <v>1</v>
      </c>
      <c r="AD41">
        <v>0.68204956172893105</v>
      </c>
      <c r="AE41">
        <v>7.9816260917613055E-2</v>
      </c>
      <c r="AF41">
        <v>11.70241363622995</v>
      </c>
      <c r="AH41">
        <f t="shared" si="0"/>
        <v>0.68204956172893105</v>
      </c>
      <c r="AJ41">
        <v>0.679582118988037</v>
      </c>
      <c r="AK41">
        <v>1.9765924662351601E-2</v>
      </c>
      <c r="AL41" s="13"/>
      <c r="AM41" s="13">
        <v>0.70418221950531001</v>
      </c>
      <c r="AN41">
        <v>1.9761420925900899E-2</v>
      </c>
      <c r="AS41">
        <v>0.52282551125717003</v>
      </c>
      <c r="AU41" s="13"/>
    </row>
    <row r="42" spans="1:47" ht="16" x14ac:dyDescent="0.25">
      <c r="A42" s="9" t="s">
        <v>52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1</v>
      </c>
      <c r="Q42">
        <v>0</v>
      </c>
      <c r="R42">
        <v>1</v>
      </c>
      <c r="S42">
        <v>0</v>
      </c>
      <c r="T42">
        <v>0</v>
      </c>
      <c r="U42">
        <v>0</v>
      </c>
      <c r="V42">
        <v>1</v>
      </c>
      <c r="W42">
        <v>1</v>
      </c>
      <c r="X42">
        <v>0</v>
      </c>
      <c r="Y42">
        <v>1</v>
      </c>
      <c r="Z42">
        <v>1</v>
      </c>
      <c r="AA42">
        <v>1</v>
      </c>
      <c r="AB42">
        <v>1</v>
      </c>
      <c r="AC42">
        <v>1</v>
      </c>
      <c r="AD42">
        <v>0.54152652413788871</v>
      </c>
      <c r="AE42">
        <v>1.0012592683189109E-3</v>
      </c>
      <c r="AF42">
        <v>0.18489570199962371</v>
      </c>
      <c r="AH42">
        <f t="shared" si="0"/>
        <v>0.54152652413788871</v>
      </c>
      <c r="AJ42">
        <v>0.54704499244689897</v>
      </c>
      <c r="AK42">
        <v>1.0633027181029301E-2</v>
      </c>
      <c r="AL42" s="13"/>
      <c r="AM42" s="13">
        <v>0.59105240106582602</v>
      </c>
      <c r="AN42">
        <v>2.7605318777347301E-2</v>
      </c>
      <c r="AS42">
        <v>0.55970828818710605</v>
      </c>
      <c r="AU42" s="13"/>
    </row>
    <row r="43" spans="1:47" ht="16" x14ac:dyDescent="0.25">
      <c r="A43" s="9" t="s">
        <v>53</v>
      </c>
      <c r="B43">
        <v>1</v>
      </c>
      <c r="C43">
        <v>0</v>
      </c>
      <c r="D43">
        <v>0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0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0</v>
      </c>
      <c r="U43">
        <v>0</v>
      </c>
      <c r="V43">
        <v>1</v>
      </c>
      <c r="W43">
        <v>1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0.73787608397164428</v>
      </c>
      <c r="AE43">
        <v>5.5996708174201491E-3</v>
      </c>
      <c r="AF43">
        <v>0.75889040708295108</v>
      </c>
      <c r="AH43">
        <f t="shared" si="0"/>
        <v>0.73787608397164428</v>
      </c>
      <c r="AJ43">
        <v>0.718927562236785</v>
      </c>
      <c r="AK43">
        <v>1.9357206299901002E-2</v>
      </c>
      <c r="AL43" s="13"/>
      <c r="AM43" s="13">
        <v>0.75717880725860598</v>
      </c>
      <c r="AN43">
        <v>3.4357123085036897E-2</v>
      </c>
      <c r="AS43">
        <v>0.63956819028768597</v>
      </c>
      <c r="AU43" s="13"/>
    </row>
    <row r="44" spans="1:47" ht="16" x14ac:dyDescent="0.25">
      <c r="A44" s="9" t="s">
        <v>54</v>
      </c>
      <c r="B44">
        <v>1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1</v>
      </c>
      <c r="O44">
        <v>1</v>
      </c>
      <c r="P44">
        <v>0</v>
      </c>
      <c r="Q44">
        <v>1</v>
      </c>
      <c r="R44">
        <v>0</v>
      </c>
      <c r="S44">
        <v>1</v>
      </c>
      <c r="T44">
        <v>1</v>
      </c>
      <c r="U44">
        <v>1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0.69444711374250845</v>
      </c>
      <c r="AE44">
        <v>2.7564668502500549E-2</v>
      </c>
      <c r="AF44">
        <v>3.9692970072190632</v>
      </c>
      <c r="AH44">
        <f t="shared" si="0"/>
        <v>0.69444711374250845</v>
      </c>
      <c r="AJ44">
        <v>0.68065756559371904</v>
      </c>
      <c r="AK44">
        <v>1.1332557536661601E-2</v>
      </c>
      <c r="AL44" s="13"/>
      <c r="AM44" s="13">
        <v>0.79981848001480105</v>
      </c>
      <c r="AN44">
        <v>3.5471960547647202E-2</v>
      </c>
      <c r="AS44">
        <v>0.50073173410121397</v>
      </c>
      <c r="AU44" s="13"/>
    </row>
    <row r="45" spans="1:47" ht="16" x14ac:dyDescent="0.25">
      <c r="A45" s="9" t="s">
        <v>55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>
        <v>1</v>
      </c>
      <c r="L45">
        <v>1</v>
      </c>
      <c r="M45">
        <v>1</v>
      </c>
      <c r="N45">
        <v>0</v>
      </c>
      <c r="O45">
        <v>0</v>
      </c>
      <c r="P45">
        <v>1</v>
      </c>
      <c r="Q45">
        <v>1</v>
      </c>
      <c r="R45">
        <v>1</v>
      </c>
      <c r="S45">
        <v>0</v>
      </c>
      <c r="T45">
        <v>1</v>
      </c>
      <c r="U45">
        <v>1</v>
      </c>
      <c r="V45">
        <v>1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0.60710787104284336</v>
      </c>
      <c r="AE45">
        <v>3.5037783085195069E-2</v>
      </c>
      <c r="AF45">
        <v>5.771261542863849</v>
      </c>
      <c r="AH45">
        <f t="shared" si="0"/>
        <v>0.60710787104284336</v>
      </c>
      <c r="AJ45">
        <v>0.60052269697189298</v>
      </c>
      <c r="AK45">
        <v>8.84805060923099E-3</v>
      </c>
      <c r="AL45" s="13"/>
      <c r="AM45" s="13">
        <v>0.70195550918579097</v>
      </c>
      <c r="AN45">
        <v>2.23149326552874E-2</v>
      </c>
      <c r="AS45">
        <v>0.59816363461771205</v>
      </c>
      <c r="AU45" s="13"/>
    </row>
    <row r="46" spans="1:47" ht="16" x14ac:dyDescent="0.25">
      <c r="A46" s="9" t="s">
        <v>56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0</v>
      </c>
      <c r="T46">
        <v>1</v>
      </c>
      <c r="U46">
        <v>1</v>
      </c>
      <c r="V46">
        <v>1</v>
      </c>
      <c r="W46">
        <v>1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0.66700465336745207</v>
      </c>
      <c r="AE46">
        <v>1.3959576260723741E-2</v>
      </c>
      <c r="AF46">
        <v>2.0928753930346908</v>
      </c>
      <c r="AH46">
        <f t="shared" si="0"/>
        <v>0.66700465336745207</v>
      </c>
      <c r="AJ46">
        <v>0.68083953857421797</v>
      </c>
      <c r="AK46">
        <v>1.7561396583914701E-2</v>
      </c>
      <c r="AL46" s="13"/>
      <c r="AM46" s="13">
        <v>0.77103773355483995</v>
      </c>
      <c r="AN46">
        <v>4.3736807130717502E-2</v>
      </c>
      <c r="AS46">
        <v>0.60160086394115098</v>
      </c>
      <c r="AU46" s="13"/>
    </row>
    <row r="47" spans="1:47" ht="16" x14ac:dyDescent="0.25">
      <c r="A47" s="9" t="s">
        <v>59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1</v>
      </c>
      <c r="K47">
        <v>1</v>
      </c>
      <c r="L47">
        <v>1</v>
      </c>
      <c r="M47">
        <v>1</v>
      </c>
      <c r="N47">
        <v>0</v>
      </c>
      <c r="O47">
        <v>0</v>
      </c>
      <c r="P47">
        <v>1</v>
      </c>
      <c r="Q47">
        <v>1</v>
      </c>
      <c r="R47">
        <v>1</v>
      </c>
      <c r="S47">
        <v>0</v>
      </c>
      <c r="T47">
        <v>1</v>
      </c>
      <c r="U47">
        <v>1</v>
      </c>
      <c r="V47">
        <v>1</v>
      </c>
      <c r="W47">
        <v>1</v>
      </c>
      <c r="X47">
        <v>0</v>
      </c>
      <c r="Y47">
        <v>1</v>
      </c>
      <c r="Z47">
        <v>1</v>
      </c>
      <c r="AA47">
        <v>1</v>
      </c>
      <c r="AB47">
        <v>1</v>
      </c>
      <c r="AC47">
        <v>1</v>
      </c>
      <c r="AD47">
        <v>0.8006123698830433</v>
      </c>
      <c r="AE47">
        <v>2.1071891910074959E-2</v>
      </c>
      <c r="AF47">
        <v>2.631971813419923</v>
      </c>
      <c r="AH47">
        <f t="shared" si="0"/>
        <v>0.8006123698830433</v>
      </c>
      <c r="AJ47">
        <v>0.78093194961547796</v>
      </c>
      <c r="AK47">
        <v>2.2418580483645201E-3</v>
      </c>
      <c r="AL47" s="13"/>
      <c r="AM47" s="13">
        <v>0.73086574077606203</v>
      </c>
      <c r="AN47">
        <v>1.93723306939096E-2</v>
      </c>
      <c r="AS47">
        <v>0.72875492919178397</v>
      </c>
      <c r="AU47" s="13"/>
    </row>
    <row r="48" spans="1:47" ht="16" x14ac:dyDescent="0.25">
      <c r="A48" s="9" t="s">
        <v>61</v>
      </c>
      <c r="B48">
        <v>1</v>
      </c>
      <c r="C48">
        <v>0</v>
      </c>
      <c r="D48">
        <v>0</v>
      </c>
      <c r="E48">
        <v>1</v>
      </c>
      <c r="F48">
        <v>0</v>
      </c>
      <c r="G48">
        <v>1</v>
      </c>
      <c r="H48">
        <v>1</v>
      </c>
      <c r="I48">
        <v>0</v>
      </c>
      <c r="J48">
        <v>1</v>
      </c>
      <c r="K48">
        <v>1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1</v>
      </c>
      <c r="U48">
        <v>1</v>
      </c>
      <c r="V48">
        <v>1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0.60893044652887773</v>
      </c>
      <c r="AE48">
        <v>7.200705410837587E-3</v>
      </c>
      <c r="AF48">
        <v>1.182516895301293</v>
      </c>
      <c r="AH48">
        <f t="shared" si="0"/>
        <v>0.60893044652887773</v>
      </c>
      <c r="AJ48">
        <v>0.59874624013900701</v>
      </c>
      <c r="AK48">
        <v>1.4908999204635599E-2</v>
      </c>
      <c r="AL48" s="13"/>
      <c r="AM48" s="13">
        <v>0.62156561613082795</v>
      </c>
      <c r="AN48">
        <v>1.65330377537527E-2</v>
      </c>
      <c r="AS48">
        <v>0.69417556896058397</v>
      </c>
      <c r="AU48" s="13"/>
    </row>
    <row r="49" spans="1:47" ht="16" x14ac:dyDescent="0.25">
      <c r="A49" s="9" t="s">
        <v>62</v>
      </c>
      <c r="B49">
        <v>1</v>
      </c>
      <c r="C49">
        <v>0</v>
      </c>
      <c r="D49">
        <v>0</v>
      </c>
      <c r="E49">
        <v>1</v>
      </c>
      <c r="F49">
        <v>0</v>
      </c>
      <c r="G49">
        <v>1</v>
      </c>
      <c r="H49">
        <v>1</v>
      </c>
      <c r="I49">
        <v>0</v>
      </c>
      <c r="J49">
        <v>1</v>
      </c>
      <c r="K49">
        <v>1</v>
      </c>
      <c r="L49">
        <v>1</v>
      </c>
      <c r="M49">
        <v>1</v>
      </c>
      <c r="N49">
        <v>0</v>
      </c>
      <c r="O49">
        <v>0</v>
      </c>
      <c r="P49">
        <v>1</v>
      </c>
      <c r="Q49">
        <v>0</v>
      </c>
      <c r="R49">
        <v>1</v>
      </c>
      <c r="S49">
        <v>0</v>
      </c>
      <c r="T49">
        <v>1</v>
      </c>
      <c r="U49">
        <v>1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0.56876603187932173</v>
      </c>
      <c r="AE49">
        <v>3.675476643343879E-3</v>
      </c>
      <c r="AF49">
        <v>0.64621943599538401</v>
      </c>
      <c r="AH49">
        <f t="shared" si="0"/>
        <v>0.56876603187932173</v>
      </c>
      <c r="AJ49">
        <v>0.54831391572952204</v>
      </c>
      <c r="AK49">
        <v>1.8329473212361301E-2</v>
      </c>
      <c r="AL49" s="13"/>
      <c r="AM49" s="13">
        <v>0.63158963918685895</v>
      </c>
      <c r="AN49">
        <v>3.1928508950266103E-2</v>
      </c>
      <c r="AS49">
        <v>0.70272006507495299</v>
      </c>
      <c r="AU49" s="13"/>
    </row>
    <row r="50" spans="1:47" ht="16" x14ac:dyDescent="0.25">
      <c r="A50" s="9" t="s">
        <v>63</v>
      </c>
      <c r="B50">
        <v>1</v>
      </c>
      <c r="C50">
        <v>0</v>
      </c>
      <c r="D50">
        <v>0</v>
      </c>
      <c r="E50">
        <v>1</v>
      </c>
      <c r="F50">
        <v>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0</v>
      </c>
      <c r="O50">
        <v>0</v>
      </c>
      <c r="P50">
        <v>1</v>
      </c>
      <c r="Q50">
        <v>1</v>
      </c>
      <c r="R50">
        <v>1</v>
      </c>
      <c r="S50">
        <v>0</v>
      </c>
      <c r="T50">
        <v>1</v>
      </c>
      <c r="U50">
        <v>1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0.6492149582239517</v>
      </c>
      <c r="AE50">
        <v>2.4140816560313309E-2</v>
      </c>
      <c r="AF50">
        <v>3.7184627763899658</v>
      </c>
      <c r="AH50">
        <f t="shared" si="0"/>
        <v>0.6492149582239517</v>
      </c>
      <c r="AJ50">
        <v>0.68408060073852495</v>
      </c>
      <c r="AK50">
        <v>1.7926238477229999E-2</v>
      </c>
      <c r="AL50" s="13"/>
      <c r="AM50" s="13">
        <v>0.77180628776550297</v>
      </c>
      <c r="AN50">
        <v>2.7756219778666401E-2</v>
      </c>
      <c r="AS50">
        <v>0.70737618107226696</v>
      </c>
      <c r="AU50" s="13"/>
    </row>
    <row r="51" spans="1:47" ht="16" x14ac:dyDescent="0.25">
      <c r="A51" s="9" t="s">
        <v>64</v>
      </c>
      <c r="B51">
        <v>1</v>
      </c>
      <c r="C51">
        <v>0</v>
      </c>
      <c r="D51">
        <v>0</v>
      </c>
      <c r="E51">
        <v>1</v>
      </c>
      <c r="F51">
        <v>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0</v>
      </c>
      <c r="T51">
        <v>1</v>
      </c>
      <c r="U51">
        <v>1</v>
      </c>
      <c r="V51">
        <v>1</v>
      </c>
      <c r="W51">
        <v>1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0.82241875028571443</v>
      </c>
      <c r="AE51">
        <v>1.239287752952432E-2</v>
      </c>
      <c r="AF51">
        <v>1.5068816859074461</v>
      </c>
      <c r="AH51">
        <f t="shared" si="0"/>
        <v>0.82241875028571443</v>
      </c>
      <c r="AJ51">
        <v>0.78746503591537398</v>
      </c>
      <c r="AK51">
        <v>2.5230042636394501E-2</v>
      </c>
      <c r="AL51" s="13"/>
      <c r="AM51" s="13">
        <v>0.80214594602584799</v>
      </c>
      <c r="AN51">
        <v>2.1828993956429298E-2</v>
      </c>
      <c r="AS51">
        <v>0.70972557884451004</v>
      </c>
      <c r="AU51" s="13"/>
    </row>
    <row r="52" spans="1:47" ht="16" x14ac:dyDescent="0.25">
      <c r="A52" s="9" t="s">
        <v>66</v>
      </c>
      <c r="B52">
        <v>1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1</v>
      </c>
      <c r="K52">
        <v>1</v>
      </c>
      <c r="L52">
        <v>1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1</v>
      </c>
      <c r="U52">
        <v>1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0.70517928972271748</v>
      </c>
      <c r="AE52">
        <v>1.6749806865949901E-2</v>
      </c>
      <c r="AF52">
        <v>2.3752550748528178</v>
      </c>
      <c r="AH52">
        <f t="shared" si="0"/>
        <v>0.70517928972271748</v>
      </c>
      <c r="AJ52">
        <v>0.68077915906906095</v>
      </c>
      <c r="AK52">
        <v>1.2399621307849801E-2</v>
      </c>
      <c r="AL52" s="13"/>
      <c r="AM52" s="13">
        <v>0.72125893831252996</v>
      </c>
      <c r="AN52">
        <v>2.65068813774775E-2</v>
      </c>
      <c r="AS52">
        <v>0.60376731825540197</v>
      </c>
      <c r="AU52" s="13"/>
    </row>
    <row r="53" spans="1:47" ht="16" x14ac:dyDescent="0.25">
      <c r="A53" s="9" t="s">
        <v>67</v>
      </c>
      <c r="B53">
        <v>1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1</v>
      </c>
      <c r="K53">
        <v>1</v>
      </c>
      <c r="L53">
        <v>1</v>
      </c>
      <c r="M53">
        <v>0</v>
      </c>
      <c r="N53">
        <v>1</v>
      </c>
      <c r="O53">
        <v>1</v>
      </c>
      <c r="P53">
        <v>0</v>
      </c>
      <c r="Q53">
        <v>0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0.67634146914821469</v>
      </c>
      <c r="AE53">
        <v>7.4351753328947808E-3</v>
      </c>
      <c r="AF53">
        <v>1.099322704884361</v>
      </c>
      <c r="AH53">
        <f t="shared" si="0"/>
        <v>0.67634146914821469</v>
      </c>
      <c r="AJ53">
        <v>0.68417930603027299</v>
      </c>
      <c r="AK53">
        <v>1.9935999065637498E-2</v>
      </c>
      <c r="AL53" s="13"/>
      <c r="AM53" s="13">
        <v>0.79445370435714702</v>
      </c>
      <c r="AN53">
        <v>2.0839270803408999E-2</v>
      </c>
      <c r="AS53">
        <v>0.61301468932445602</v>
      </c>
      <c r="AU53" s="13"/>
    </row>
    <row r="54" spans="1:47" ht="16" x14ac:dyDescent="0.25">
      <c r="A54" s="9" t="s">
        <v>68</v>
      </c>
      <c r="B54">
        <v>1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0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0.67033160280138182</v>
      </c>
      <c r="AE54">
        <v>5.6348969423995711E-3</v>
      </c>
      <c r="AF54">
        <v>0.84061334999734183</v>
      </c>
      <c r="AH54">
        <f t="shared" si="0"/>
        <v>0.67033160280138182</v>
      </c>
      <c r="AJ54">
        <v>0.65527278184890703</v>
      </c>
      <c r="AK54">
        <v>2.2210901603102601E-2</v>
      </c>
      <c r="AL54" s="13"/>
      <c r="AM54" s="13">
        <v>0.754614913463592</v>
      </c>
      <c r="AN54">
        <v>1.3724730997805299E-2</v>
      </c>
      <c r="AS54">
        <v>0.62411484170017495</v>
      </c>
      <c r="AU54" s="13"/>
    </row>
    <row r="55" spans="1:47" ht="16" x14ac:dyDescent="0.25">
      <c r="A55" s="9" t="s">
        <v>69</v>
      </c>
      <c r="B55">
        <v>1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1</v>
      </c>
      <c r="K55">
        <v>1</v>
      </c>
      <c r="L55">
        <v>1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1</v>
      </c>
      <c r="T55">
        <v>1</v>
      </c>
      <c r="U55">
        <v>1</v>
      </c>
      <c r="V55">
        <v>0</v>
      </c>
      <c r="W55">
        <v>0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0.67856991381526321</v>
      </c>
      <c r="AE55">
        <v>1.7024806801462612E-2</v>
      </c>
      <c r="AF55">
        <v>2.508924497660165</v>
      </c>
      <c r="AH55">
        <f t="shared" si="0"/>
        <v>0.67856991381526321</v>
      </c>
      <c r="AJ55">
        <v>0.67349213361740101</v>
      </c>
      <c r="AK55">
        <v>1.47570045664906E-2</v>
      </c>
      <c r="AL55" s="13"/>
      <c r="AM55" s="13">
        <v>0.741340684890747</v>
      </c>
      <c r="AN55">
        <v>2.1381757226080302E-2</v>
      </c>
      <c r="AS55">
        <v>0.73165755523953102</v>
      </c>
      <c r="AU55" s="13"/>
    </row>
    <row r="56" spans="1:47" ht="16" x14ac:dyDescent="0.25">
      <c r="A56" s="9" t="s">
        <v>70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1</v>
      </c>
      <c r="K56">
        <v>1</v>
      </c>
      <c r="L56">
        <v>1</v>
      </c>
      <c r="M56">
        <v>1</v>
      </c>
      <c r="N56">
        <v>0</v>
      </c>
      <c r="O56">
        <v>0</v>
      </c>
      <c r="P56">
        <v>1</v>
      </c>
      <c r="Q56">
        <v>1</v>
      </c>
      <c r="R56">
        <v>0</v>
      </c>
      <c r="S56">
        <v>0</v>
      </c>
      <c r="T56">
        <v>1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0.55019158348179265</v>
      </c>
      <c r="AE56">
        <v>1.4426317800383099E-2</v>
      </c>
      <c r="AF56">
        <v>2.622053523445167</v>
      </c>
      <c r="AH56">
        <f t="shared" si="0"/>
        <v>0.55019158348179265</v>
      </c>
      <c r="AJ56">
        <v>0.55106085538864102</v>
      </c>
      <c r="AK56">
        <v>4.9478197470307298E-3</v>
      </c>
      <c r="AL56" s="13"/>
      <c r="AM56" s="13">
        <v>0.57883590459823597</v>
      </c>
      <c r="AN56">
        <v>3.1826199307960802E-2</v>
      </c>
      <c r="AS56">
        <v>0.58907982377575696</v>
      </c>
      <c r="AU56" s="13"/>
    </row>
    <row r="57" spans="1:47" ht="16" x14ac:dyDescent="0.25">
      <c r="A57" s="9" t="s">
        <v>71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1</v>
      </c>
      <c r="K57">
        <v>1</v>
      </c>
      <c r="L57">
        <v>1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1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0.61675277301718301</v>
      </c>
      <c r="AE57">
        <v>7.9230982780971338E-3</v>
      </c>
      <c r="AF57">
        <v>1.284647370021049</v>
      </c>
      <c r="AH57">
        <f t="shared" si="0"/>
        <v>0.61675277301718301</v>
      </c>
      <c r="AJ57">
        <v>0.60190731287002497</v>
      </c>
      <c r="AK57">
        <v>1.04042552411556E-2</v>
      </c>
      <c r="AL57" s="13"/>
      <c r="AM57" s="13">
        <v>0.62228364944458003</v>
      </c>
      <c r="AN57">
        <v>2.5988682969364098E-2</v>
      </c>
      <c r="AS57">
        <v>0.57887169508685998</v>
      </c>
      <c r="AU57" s="13"/>
    </row>
    <row r="58" spans="1:47" ht="16" x14ac:dyDescent="0.25">
      <c r="A58" s="9" t="s">
        <v>72</v>
      </c>
      <c r="B58">
        <v>1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1</v>
      </c>
      <c r="K58">
        <v>1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1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0.6026146588475112</v>
      </c>
      <c r="AE58">
        <v>4.8842084080157992E-3</v>
      </c>
      <c r="AF58">
        <v>0.81050275434002106</v>
      </c>
      <c r="AH58">
        <f t="shared" si="0"/>
        <v>0.6026146588475112</v>
      </c>
      <c r="AJ58">
        <v>0.585840284824371</v>
      </c>
      <c r="AK58">
        <v>7.9725226387381502E-3</v>
      </c>
      <c r="AL58" s="13"/>
      <c r="AM58" s="13">
        <v>0.58637504577636701</v>
      </c>
      <c r="AN58">
        <v>2.9361139953939401E-2</v>
      </c>
      <c r="AS58">
        <v>0.600411468523665</v>
      </c>
      <c r="AU58" s="13"/>
    </row>
    <row r="59" spans="1:47" ht="16" x14ac:dyDescent="0.25">
      <c r="A59" s="9" t="s">
        <v>73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1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0.55740778332360708</v>
      </c>
      <c r="AE59">
        <v>4.5110369876273987E-3</v>
      </c>
      <c r="AF59">
        <v>0.80928848189557556</v>
      </c>
      <c r="AH59">
        <f t="shared" si="0"/>
        <v>0.55740778332360708</v>
      </c>
      <c r="AJ59">
        <v>0.53301501274108798</v>
      </c>
      <c r="AK59">
        <v>9.6001662313938106E-3</v>
      </c>
      <c r="AL59" s="13"/>
      <c r="AM59" s="13">
        <v>0.53075411319732602</v>
      </c>
      <c r="AN59">
        <v>2.5373462708670101E-2</v>
      </c>
      <c r="AS59">
        <v>0.57223283880466702</v>
      </c>
      <c r="AU59" s="13"/>
    </row>
    <row r="60" spans="1:47" ht="16" x14ac:dyDescent="0.25">
      <c r="A60" s="9" t="s">
        <v>74</v>
      </c>
      <c r="B60">
        <v>1</v>
      </c>
      <c r="C60">
        <v>0</v>
      </c>
      <c r="D60">
        <v>0</v>
      </c>
      <c r="E60">
        <v>1</v>
      </c>
      <c r="F60">
        <v>0</v>
      </c>
      <c r="G60">
        <v>1</v>
      </c>
      <c r="H60">
        <v>1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0.51851755897715401</v>
      </c>
      <c r="AE60">
        <v>4.6622578129600313E-3</v>
      </c>
      <c r="AF60">
        <v>0.89915138499011782</v>
      </c>
      <c r="AH60">
        <f t="shared" si="0"/>
        <v>0.51851755897715401</v>
      </c>
      <c r="AJ60">
        <v>0.51149016618728604</v>
      </c>
      <c r="AK60">
        <v>8.6184628307819297E-3</v>
      </c>
      <c r="AL60" s="13"/>
      <c r="AM60" s="13">
        <v>0.55535993576049802</v>
      </c>
      <c r="AN60">
        <v>2.21928120518818E-2</v>
      </c>
      <c r="AS60">
        <v>0.639686763236335</v>
      </c>
      <c r="AU60" s="13"/>
    </row>
    <row r="61" spans="1:47" ht="16" x14ac:dyDescent="0.25">
      <c r="A61" s="9" t="s">
        <v>75</v>
      </c>
      <c r="B61">
        <v>1</v>
      </c>
      <c r="C61">
        <v>0</v>
      </c>
      <c r="D61">
        <v>0</v>
      </c>
      <c r="E61">
        <v>1</v>
      </c>
      <c r="F61">
        <v>0</v>
      </c>
      <c r="G61">
        <v>1</v>
      </c>
      <c r="H61">
        <v>1</v>
      </c>
      <c r="I61">
        <v>0</v>
      </c>
      <c r="J61">
        <v>1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0.47803306489143249</v>
      </c>
      <c r="AE61">
        <v>5.7174241468143519E-3</v>
      </c>
      <c r="AF61">
        <v>1.196031104692068</v>
      </c>
      <c r="AH61">
        <f t="shared" si="0"/>
        <v>0.47803306489143249</v>
      </c>
      <c r="AJ61">
        <v>0.48408150672912598</v>
      </c>
      <c r="AK61">
        <v>4.9876449629664404E-3</v>
      </c>
      <c r="AL61" s="13"/>
      <c r="AM61" s="13">
        <v>0.53626742362975999</v>
      </c>
      <c r="AN61">
        <v>2.6760297161719002E-2</v>
      </c>
      <c r="AS61">
        <v>0.57131186169362502</v>
      </c>
      <c r="AU61" s="13"/>
    </row>
    <row r="62" spans="1:47" ht="16" x14ac:dyDescent="0.25">
      <c r="A62" s="9" t="s">
        <v>76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1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1</v>
      </c>
      <c r="V62">
        <v>0</v>
      </c>
      <c r="W62">
        <v>0</v>
      </c>
      <c r="X62">
        <v>0</v>
      </c>
      <c r="Y62">
        <v>1</v>
      </c>
      <c r="Z62">
        <v>1</v>
      </c>
      <c r="AA62">
        <v>1</v>
      </c>
      <c r="AB62">
        <v>1</v>
      </c>
      <c r="AC62">
        <v>1</v>
      </c>
      <c r="AD62">
        <v>0.51120440056753791</v>
      </c>
      <c r="AE62">
        <v>1.268026751280985E-2</v>
      </c>
      <c r="AF62">
        <v>2.4804691623804969</v>
      </c>
      <c r="AH62">
        <f t="shared" si="0"/>
        <v>0.51120440056753791</v>
      </c>
      <c r="AJ62">
        <v>0.535361588001251</v>
      </c>
      <c r="AK62">
        <v>7.4545694515109001E-3</v>
      </c>
      <c r="AL62" s="13"/>
      <c r="AM62" s="13">
        <v>0.65818288326263397</v>
      </c>
      <c r="AN62">
        <v>3.7403171356192901E-2</v>
      </c>
      <c r="AS62">
        <v>0.69561967463139196</v>
      </c>
      <c r="AU62" s="13"/>
    </row>
    <row r="63" spans="1:47" ht="16" x14ac:dyDescent="0.25">
      <c r="A63" s="9" t="s">
        <v>77</v>
      </c>
      <c r="B63">
        <v>1</v>
      </c>
      <c r="C63">
        <v>0</v>
      </c>
      <c r="D63">
        <v>0</v>
      </c>
      <c r="E63">
        <v>1</v>
      </c>
      <c r="F63">
        <v>0</v>
      </c>
      <c r="G63">
        <v>1</v>
      </c>
      <c r="H63">
        <v>1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1</v>
      </c>
      <c r="V63">
        <v>0</v>
      </c>
      <c r="W63">
        <v>0</v>
      </c>
      <c r="X63">
        <v>0</v>
      </c>
      <c r="Y63">
        <v>1</v>
      </c>
      <c r="Z63">
        <v>1</v>
      </c>
      <c r="AA63">
        <v>1</v>
      </c>
      <c r="AB63">
        <v>1</v>
      </c>
      <c r="AC63">
        <v>1</v>
      </c>
      <c r="AD63">
        <v>0.60589474464084003</v>
      </c>
      <c r="AE63">
        <v>2.2807897106579222E-2</v>
      </c>
      <c r="AF63">
        <v>3.76433321270994</v>
      </c>
      <c r="AH63">
        <f t="shared" si="0"/>
        <v>0.60589474464084003</v>
      </c>
      <c r="AJ63">
        <v>0.59635633230209295</v>
      </c>
      <c r="AK63">
        <v>7.5227543711662197E-3</v>
      </c>
      <c r="AL63" s="13"/>
      <c r="AM63" s="13">
        <v>0.54468901157379102</v>
      </c>
      <c r="AN63">
        <v>2.6229885882391502E-2</v>
      </c>
      <c r="AS63">
        <v>0.76945676051887502</v>
      </c>
      <c r="AU63" s="13"/>
    </row>
    <row r="64" spans="1:47" ht="16" x14ac:dyDescent="0.25">
      <c r="A64" s="9" t="s">
        <v>78</v>
      </c>
      <c r="B64">
        <v>1</v>
      </c>
      <c r="C64">
        <v>0</v>
      </c>
      <c r="D64">
        <v>0</v>
      </c>
      <c r="E64">
        <v>1</v>
      </c>
      <c r="F64">
        <v>0</v>
      </c>
      <c r="G64">
        <v>1</v>
      </c>
      <c r="H64">
        <v>1</v>
      </c>
      <c r="I64">
        <v>0</v>
      </c>
      <c r="J64">
        <v>1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1</v>
      </c>
      <c r="AA64">
        <v>1</v>
      </c>
      <c r="AB64">
        <v>1</v>
      </c>
      <c r="AC64">
        <v>1</v>
      </c>
      <c r="AD64">
        <v>0.5069275588793426</v>
      </c>
      <c r="AE64">
        <v>6.6612852950861407E-3</v>
      </c>
      <c r="AF64">
        <v>1.3140507313928931</v>
      </c>
      <c r="AH64">
        <f t="shared" si="0"/>
        <v>0.5069275588793426</v>
      </c>
      <c r="AJ64">
        <v>0.51607811450958196</v>
      </c>
      <c r="AK64">
        <v>1.8519122153520501E-2</v>
      </c>
      <c r="AL64" s="13"/>
      <c r="AM64" s="13">
        <v>0.61459523439407304</v>
      </c>
      <c r="AN64">
        <v>1.4923753885794099E-2</v>
      </c>
      <c r="AS64">
        <v>0.75465184668796703</v>
      </c>
      <c r="AU64" s="13"/>
    </row>
    <row r="65" spans="1:47" ht="16" x14ac:dyDescent="0.25">
      <c r="A65" s="9" t="s">
        <v>79</v>
      </c>
      <c r="B65">
        <v>1</v>
      </c>
      <c r="C65">
        <v>0</v>
      </c>
      <c r="D65">
        <v>0</v>
      </c>
      <c r="E65">
        <v>1</v>
      </c>
      <c r="F65">
        <v>0</v>
      </c>
      <c r="G65">
        <v>1</v>
      </c>
      <c r="H65">
        <v>1</v>
      </c>
      <c r="I65">
        <v>0</v>
      </c>
      <c r="J65">
        <v>0</v>
      </c>
      <c r="K65">
        <v>0</v>
      </c>
      <c r="L65">
        <v>1</v>
      </c>
      <c r="M65">
        <v>1</v>
      </c>
      <c r="N65">
        <v>0</v>
      </c>
      <c r="O65">
        <v>0</v>
      </c>
      <c r="P65">
        <v>1</v>
      </c>
      <c r="Q65">
        <v>0</v>
      </c>
      <c r="R65">
        <v>1</v>
      </c>
      <c r="S65">
        <v>0</v>
      </c>
      <c r="T65">
        <v>1</v>
      </c>
      <c r="U65">
        <v>1</v>
      </c>
      <c r="V65">
        <v>1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0.51752629030030484</v>
      </c>
      <c r="AE65">
        <v>4.6090906849450084E-3</v>
      </c>
      <c r="AF65">
        <v>0.89060029825161013</v>
      </c>
      <c r="AH65">
        <f t="shared" si="0"/>
        <v>0.51752629030030484</v>
      </c>
      <c r="AJ65">
        <v>0.51979851722717196</v>
      </c>
      <c r="AK65">
        <v>2.5386316701769801E-2</v>
      </c>
      <c r="AL65" s="13"/>
      <c r="AM65" s="13">
        <v>0.62409795522689804</v>
      </c>
      <c r="AN65">
        <v>5.95116609600767E-2</v>
      </c>
      <c r="AS65">
        <v>0.66238501778076697</v>
      </c>
      <c r="AU65" s="13"/>
    </row>
    <row r="66" spans="1:47" ht="16" x14ac:dyDescent="0.25">
      <c r="A66" s="9" t="s">
        <v>80</v>
      </c>
      <c r="B66">
        <v>1</v>
      </c>
      <c r="C66">
        <v>0</v>
      </c>
      <c r="D66">
        <v>0</v>
      </c>
      <c r="E66">
        <v>1</v>
      </c>
      <c r="F66">
        <v>0</v>
      </c>
      <c r="G66">
        <v>1</v>
      </c>
      <c r="H66">
        <v>1</v>
      </c>
      <c r="I66">
        <v>1</v>
      </c>
      <c r="J66">
        <v>0</v>
      </c>
      <c r="K66">
        <v>0</v>
      </c>
      <c r="L66">
        <v>1</v>
      </c>
      <c r="M66">
        <v>1</v>
      </c>
      <c r="N66">
        <v>0</v>
      </c>
      <c r="O66">
        <v>0</v>
      </c>
      <c r="P66">
        <v>1</v>
      </c>
      <c r="Q66">
        <v>1</v>
      </c>
      <c r="R66">
        <v>1</v>
      </c>
      <c r="S66">
        <v>0</v>
      </c>
      <c r="T66">
        <v>1</v>
      </c>
      <c r="U66">
        <v>1</v>
      </c>
      <c r="V66">
        <v>1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0.99335714738065184</v>
      </c>
      <c r="AE66">
        <v>0.13465811620461449</v>
      </c>
      <c r="AF66">
        <v>13.555861208598509</v>
      </c>
      <c r="AH66">
        <f t="shared" ref="AH66:AH129" si="1">AD66</f>
        <v>0.99335714738065184</v>
      </c>
      <c r="AJ66">
        <v>0.87119430303573597</v>
      </c>
      <c r="AK66">
        <v>2.9142165556550002E-2</v>
      </c>
      <c r="AL66" s="13"/>
      <c r="AM66" s="13">
        <v>0.67698177099227896</v>
      </c>
      <c r="AN66">
        <v>2.6039584659294499E-2</v>
      </c>
      <c r="AS66">
        <v>0.67024535126828799</v>
      </c>
      <c r="AU66" s="13"/>
    </row>
    <row r="67" spans="1:47" ht="16" x14ac:dyDescent="0.25">
      <c r="A67" s="9" t="s">
        <v>81</v>
      </c>
      <c r="B67">
        <v>1</v>
      </c>
      <c r="C67">
        <v>0</v>
      </c>
      <c r="D67">
        <v>0</v>
      </c>
      <c r="E67">
        <v>1</v>
      </c>
      <c r="F67">
        <v>1</v>
      </c>
      <c r="G67">
        <v>1</v>
      </c>
      <c r="H67">
        <v>1</v>
      </c>
      <c r="I67">
        <v>0</v>
      </c>
      <c r="J67">
        <v>0</v>
      </c>
      <c r="K67">
        <v>0</v>
      </c>
      <c r="L67">
        <v>1</v>
      </c>
      <c r="M67">
        <v>0</v>
      </c>
      <c r="N67">
        <v>1</v>
      </c>
      <c r="O67">
        <v>1</v>
      </c>
      <c r="P67">
        <v>0</v>
      </c>
      <c r="Q67">
        <v>0</v>
      </c>
      <c r="R67">
        <v>0</v>
      </c>
      <c r="S67">
        <v>1</v>
      </c>
      <c r="T67">
        <v>1</v>
      </c>
      <c r="U67">
        <v>1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0.62170323192955712</v>
      </c>
      <c r="AE67">
        <v>3.428724596226021E-2</v>
      </c>
      <c r="AF67">
        <v>5.5150503007430354</v>
      </c>
      <c r="AH67">
        <f t="shared" si="1"/>
        <v>0.62170323192955712</v>
      </c>
      <c r="AJ67">
        <v>0.59333968162536599</v>
      </c>
      <c r="AK67">
        <v>2.5865076109766901E-2</v>
      </c>
      <c r="AL67" s="13"/>
      <c r="AM67" s="13">
        <v>0.609195911884307</v>
      </c>
      <c r="AN67">
        <v>5.2408189418799503E-2</v>
      </c>
      <c r="AS67">
        <v>0.67195289403343195</v>
      </c>
      <c r="AU67" s="13"/>
    </row>
    <row r="68" spans="1:47" ht="16" x14ac:dyDescent="0.25">
      <c r="A68" s="9" t="s">
        <v>82</v>
      </c>
      <c r="B68">
        <v>1</v>
      </c>
      <c r="C68">
        <v>0</v>
      </c>
      <c r="D68">
        <v>0</v>
      </c>
      <c r="E68">
        <v>1</v>
      </c>
      <c r="F68">
        <v>0</v>
      </c>
      <c r="G68">
        <v>1</v>
      </c>
      <c r="H68">
        <v>1</v>
      </c>
      <c r="I68">
        <v>0</v>
      </c>
      <c r="J68">
        <v>1</v>
      </c>
      <c r="K68">
        <v>1</v>
      </c>
      <c r="L68">
        <v>0</v>
      </c>
      <c r="M68">
        <v>1</v>
      </c>
      <c r="N68">
        <v>0</v>
      </c>
      <c r="O68">
        <v>0</v>
      </c>
      <c r="P68">
        <v>1</v>
      </c>
      <c r="Q68">
        <v>0</v>
      </c>
      <c r="R68">
        <v>1</v>
      </c>
      <c r="S68">
        <v>0</v>
      </c>
      <c r="T68">
        <v>0</v>
      </c>
      <c r="U68">
        <v>0</v>
      </c>
      <c r="V68">
        <v>1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0.53130280669175689</v>
      </c>
      <c r="AE68">
        <v>1.082459485920721E-2</v>
      </c>
      <c r="AF68">
        <v>2.037368280925957</v>
      </c>
      <c r="AH68">
        <f t="shared" si="1"/>
        <v>0.53130280669175689</v>
      </c>
      <c r="AJ68">
        <v>0.52322441339492798</v>
      </c>
      <c r="AK68">
        <v>4.1615855880081602E-3</v>
      </c>
      <c r="AL68" s="13"/>
      <c r="AM68" s="13">
        <v>0.56466437578201201</v>
      </c>
      <c r="AN68">
        <v>1.7640597574112401E-2</v>
      </c>
      <c r="AS68">
        <v>0.603481413999988</v>
      </c>
      <c r="AU68" s="13"/>
    </row>
    <row r="69" spans="1:47" ht="16" x14ac:dyDescent="0.25">
      <c r="A69" s="9" t="s">
        <v>83</v>
      </c>
      <c r="B69">
        <v>1</v>
      </c>
      <c r="C69">
        <v>0</v>
      </c>
      <c r="D69">
        <v>0</v>
      </c>
      <c r="E69">
        <v>1</v>
      </c>
      <c r="F69">
        <v>0</v>
      </c>
      <c r="G69">
        <v>1</v>
      </c>
      <c r="H69">
        <v>1</v>
      </c>
      <c r="I69">
        <v>1</v>
      </c>
      <c r="J69">
        <v>1</v>
      </c>
      <c r="K69">
        <v>1</v>
      </c>
      <c r="L69">
        <v>0</v>
      </c>
      <c r="M69">
        <v>1</v>
      </c>
      <c r="N69">
        <v>0</v>
      </c>
      <c r="O69">
        <v>0</v>
      </c>
      <c r="P69">
        <v>1</v>
      </c>
      <c r="Q69">
        <v>1</v>
      </c>
      <c r="R69">
        <v>1</v>
      </c>
      <c r="S69">
        <v>0</v>
      </c>
      <c r="T69">
        <v>0</v>
      </c>
      <c r="U69">
        <v>0</v>
      </c>
      <c r="V69">
        <v>1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0.66887750517098477</v>
      </c>
      <c r="AE69">
        <v>1.0309744026150799E-2</v>
      </c>
      <c r="AF69">
        <v>1.5413500897320991</v>
      </c>
      <c r="AH69">
        <f t="shared" si="1"/>
        <v>0.66887750517098477</v>
      </c>
      <c r="AJ69">
        <v>0.64938896894454901</v>
      </c>
      <c r="AK69">
        <v>1.31313689053058E-2</v>
      </c>
      <c r="AL69" s="13"/>
      <c r="AM69" s="13">
        <v>0.69826406240463201</v>
      </c>
      <c r="AN69">
        <v>3.9058091536192399E-2</v>
      </c>
      <c r="AS69">
        <v>0.60940173679777399</v>
      </c>
      <c r="AU69" s="13"/>
    </row>
    <row r="70" spans="1:47" ht="16" x14ac:dyDescent="0.25">
      <c r="A70" s="9" t="s">
        <v>84</v>
      </c>
      <c r="B70">
        <v>1</v>
      </c>
      <c r="C70">
        <v>0</v>
      </c>
      <c r="D70">
        <v>0</v>
      </c>
      <c r="E70">
        <v>1</v>
      </c>
      <c r="F70">
        <v>1</v>
      </c>
      <c r="G70">
        <v>1</v>
      </c>
      <c r="H70">
        <v>1</v>
      </c>
      <c r="I70">
        <v>0</v>
      </c>
      <c r="J70">
        <v>1</v>
      </c>
      <c r="K70">
        <v>1</v>
      </c>
      <c r="L70">
        <v>0</v>
      </c>
      <c r="M70">
        <v>0</v>
      </c>
      <c r="N70">
        <v>1</v>
      </c>
      <c r="O70">
        <v>1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0.70982063701817666</v>
      </c>
      <c r="AE70">
        <v>1.8647182097790319E-2</v>
      </c>
      <c r="AF70">
        <v>2.6270273256809831</v>
      </c>
      <c r="AH70">
        <f t="shared" si="1"/>
        <v>0.70982063701817666</v>
      </c>
      <c r="AJ70">
        <v>0.65572088956832797</v>
      </c>
      <c r="AK70">
        <v>1.13771837204694E-2</v>
      </c>
      <c r="AL70" s="13"/>
      <c r="AM70" s="13">
        <v>0.62653353214263896</v>
      </c>
      <c r="AN70">
        <v>1.9497855216039299E-2</v>
      </c>
      <c r="AS70">
        <v>0.60167347452735498</v>
      </c>
      <c r="AU70" s="13"/>
    </row>
    <row r="71" spans="1:47" ht="16" x14ac:dyDescent="0.25">
      <c r="A71" s="9">
        <v>1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0.48747824394714961</v>
      </c>
      <c r="AE71">
        <v>2.2908287225334941E-2</v>
      </c>
      <c r="AF71">
        <v>4.6993455625516214</v>
      </c>
      <c r="AH71">
        <f t="shared" si="1"/>
        <v>0.48747824394714961</v>
      </c>
      <c r="AJ71">
        <v>0.48364290595054599</v>
      </c>
      <c r="AK71">
        <v>9.3998890370130504E-3</v>
      </c>
      <c r="AL71" s="13"/>
      <c r="AM71" s="13">
        <v>0.51384105682373005</v>
      </c>
      <c r="AN71">
        <v>1.3080384980666101E-2</v>
      </c>
      <c r="AS71">
        <v>0.45153344258823402</v>
      </c>
      <c r="AU71" s="13"/>
    </row>
    <row r="72" spans="1:47" ht="16" x14ac:dyDescent="0.25">
      <c r="A72" s="9">
        <v>2</v>
      </c>
      <c r="B72">
        <v>1</v>
      </c>
      <c r="C72">
        <v>0</v>
      </c>
      <c r="D72">
        <v>0</v>
      </c>
      <c r="E72">
        <v>1</v>
      </c>
      <c r="F72">
        <v>0</v>
      </c>
      <c r="G72">
        <v>1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0.46263831419904311</v>
      </c>
      <c r="AE72">
        <v>3.9700339843523362E-3</v>
      </c>
      <c r="AF72">
        <v>0.85812909620889932</v>
      </c>
      <c r="AH72">
        <f t="shared" si="1"/>
        <v>0.46263831419904311</v>
      </c>
      <c r="AJ72">
        <v>0.46255299448966902</v>
      </c>
      <c r="AK72">
        <v>6.0967910103499803E-3</v>
      </c>
      <c r="AL72" s="13"/>
      <c r="AM72" s="13">
        <v>0.50024741888046198</v>
      </c>
      <c r="AN72">
        <v>2.6602834210906999E-2</v>
      </c>
      <c r="AS72">
        <v>0.50223265874616996</v>
      </c>
      <c r="AU72" s="13"/>
    </row>
    <row r="73" spans="1:47" ht="16" x14ac:dyDescent="0.25">
      <c r="A73" s="9">
        <v>3</v>
      </c>
      <c r="B73">
        <v>1</v>
      </c>
      <c r="C73">
        <v>0</v>
      </c>
      <c r="D73">
        <v>0</v>
      </c>
      <c r="E73">
        <v>1</v>
      </c>
      <c r="F73">
        <v>0</v>
      </c>
      <c r="G73">
        <v>1</v>
      </c>
      <c r="H73">
        <v>1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0.45098501895393572</v>
      </c>
      <c r="AE73">
        <v>8.8015052671100522E-3</v>
      </c>
      <c r="AF73">
        <v>1.951618101977141</v>
      </c>
      <c r="AH73">
        <f t="shared" si="1"/>
        <v>0.45098501895393572</v>
      </c>
      <c r="AJ73">
        <v>0.45236679911613398</v>
      </c>
      <c r="AK73">
        <v>3.3207393717020698E-3</v>
      </c>
      <c r="AL73" s="13"/>
      <c r="AM73" s="13">
        <v>0.50677140355110095</v>
      </c>
      <c r="AN73">
        <v>2.5071526018054801E-2</v>
      </c>
      <c r="AS73">
        <v>0.50706763682851597</v>
      </c>
      <c r="AU73" s="13"/>
    </row>
    <row r="74" spans="1:47" ht="16" x14ac:dyDescent="0.25">
      <c r="A74" s="9">
        <v>4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0.55008564679703764</v>
      </c>
      <c r="AE74">
        <v>5.8426504836833206E-4</v>
      </c>
      <c r="AF74">
        <v>0.106213469078917</v>
      </c>
      <c r="AH74">
        <f t="shared" si="1"/>
        <v>0.55008564679703764</v>
      </c>
      <c r="AJ74">
        <v>0.53899616003036499</v>
      </c>
      <c r="AK74">
        <v>2.99977185204625E-3</v>
      </c>
      <c r="AL74" s="13"/>
      <c r="AM74" s="13">
        <v>0.52150511741638095</v>
      </c>
      <c r="AN74">
        <v>2.4795812273392601E-2</v>
      </c>
      <c r="AS74">
        <v>0.47705702762133301</v>
      </c>
      <c r="AU74" s="13"/>
    </row>
    <row r="75" spans="1:47" ht="16" x14ac:dyDescent="0.25">
      <c r="A75" s="9">
        <v>5</v>
      </c>
      <c r="B75">
        <v>1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0.57416374668103443</v>
      </c>
      <c r="AE75">
        <v>3.4768403087800251E-3</v>
      </c>
      <c r="AF75">
        <v>0.60554856151715841</v>
      </c>
      <c r="AH75">
        <f t="shared" si="1"/>
        <v>0.57416374668103443</v>
      </c>
      <c r="AJ75">
        <v>0.560688316822052</v>
      </c>
      <c r="AK75">
        <v>1.3967496342957001E-2</v>
      </c>
      <c r="AL75" s="13"/>
      <c r="AM75" s="13">
        <v>0.52203049659728995</v>
      </c>
      <c r="AN75">
        <v>2.6511508337790798E-2</v>
      </c>
      <c r="AS75">
        <v>0.36580539683222302</v>
      </c>
      <c r="AU75" s="13"/>
    </row>
    <row r="76" spans="1:47" ht="16" x14ac:dyDescent="0.25">
      <c r="A76" s="9">
        <v>6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0.52537446318020464</v>
      </c>
      <c r="AE76">
        <v>7.6645624894044516E-3</v>
      </c>
      <c r="AF76">
        <v>1.458876102010974</v>
      </c>
      <c r="AH76">
        <f t="shared" si="1"/>
        <v>0.52537446318020464</v>
      </c>
      <c r="AJ76">
        <v>0.51819223165511996</v>
      </c>
      <c r="AK76">
        <v>6.6223652102053096E-3</v>
      </c>
      <c r="AL76" s="13"/>
      <c r="AM76" s="13">
        <v>0.51212240457534697</v>
      </c>
      <c r="AN76">
        <v>3.3630720316867202E-2</v>
      </c>
      <c r="AS76">
        <v>0.336561551851772</v>
      </c>
      <c r="AU76" s="13"/>
    </row>
    <row r="77" spans="1:47" ht="16" x14ac:dyDescent="0.25">
      <c r="A77" s="9">
        <v>7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0.59062697927855434</v>
      </c>
      <c r="AE77">
        <v>1.0539073370809121E-2</v>
      </c>
      <c r="AF77">
        <v>1.7843873951851139</v>
      </c>
      <c r="AH77">
        <f t="shared" si="1"/>
        <v>0.59062697927855434</v>
      </c>
      <c r="AJ77">
        <v>0.5816011428833</v>
      </c>
      <c r="AK77">
        <v>1.2283219955861501E-2</v>
      </c>
      <c r="AL77" s="13"/>
      <c r="AM77" s="13">
        <v>0.58600771427154497</v>
      </c>
      <c r="AN77">
        <v>1.1159268654794E-2</v>
      </c>
      <c r="AS77">
        <v>0.33211066820914997</v>
      </c>
      <c r="AU77" s="13"/>
    </row>
    <row r="78" spans="1:47" ht="16" x14ac:dyDescent="0.25">
      <c r="A78" s="9">
        <v>8</v>
      </c>
      <c r="B78">
        <v>1</v>
      </c>
      <c r="C78">
        <v>0</v>
      </c>
      <c r="D78">
        <v>0</v>
      </c>
      <c r="E78">
        <v>0</v>
      </c>
      <c r="F78">
        <v>1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0.62629408615185944</v>
      </c>
      <c r="AE78">
        <v>1.253065730196808E-3</v>
      </c>
      <c r="AF78">
        <v>0.20007625138152321</v>
      </c>
      <c r="AH78">
        <f t="shared" si="1"/>
        <v>0.62629408615185944</v>
      </c>
      <c r="AJ78">
        <v>0.61602473258972101</v>
      </c>
      <c r="AK78">
        <v>1.3303679414093401E-2</v>
      </c>
      <c r="AL78" s="13"/>
      <c r="AM78" s="13">
        <v>0.642726385593414</v>
      </c>
      <c r="AN78">
        <v>1.86591596132611E-2</v>
      </c>
      <c r="AS78">
        <v>0.37211058432988298</v>
      </c>
      <c r="AU78" s="13"/>
    </row>
    <row r="79" spans="1:47" ht="16" x14ac:dyDescent="0.25">
      <c r="A79" s="9">
        <v>9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1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0.54674039321791479</v>
      </c>
      <c r="AE79">
        <v>7.9876469566824305E-3</v>
      </c>
      <c r="AF79">
        <v>1.4609578980748159</v>
      </c>
      <c r="AH79">
        <f t="shared" si="1"/>
        <v>0.54674039321791479</v>
      </c>
      <c r="AJ79">
        <v>0.53999030590057295</v>
      </c>
      <c r="AK79">
        <v>1.00059434771537E-2</v>
      </c>
      <c r="AL79" s="13"/>
      <c r="AM79" s="13">
        <v>0.51202537417411798</v>
      </c>
      <c r="AN79">
        <v>3.6780954932546399E-2</v>
      </c>
      <c r="AS79">
        <v>0.39067473894825899</v>
      </c>
      <c r="AU79" s="13"/>
    </row>
    <row r="80" spans="1:47" ht="16" x14ac:dyDescent="0.25">
      <c r="A80" s="9">
        <v>10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0.46615780343952212</v>
      </c>
      <c r="AE80">
        <v>1.3037028380568001E-3</v>
      </c>
      <c r="AF80">
        <v>0.27966985180500969</v>
      </c>
      <c r="AH80">
        <f t="shared" si="1"/>
        <v>0.46615780343952212</v>
      </c>
      <c r="AJ80">
        <v>0.46224927902221602</v>
      </c>
      <c r="AK80">
        <v>2.2259375546127501E-3</v>
      </c>
      <c r="AL80" s="13"/>
      <c r="AM80" s="13">
        <v>0.46367865204811098</v>
      </c>
      <c r="AN80">
        <v>1.5523479223747499E-2</v>
      </c>
      <c r="AS80">
        <v>0.33377583141578898</v>
      </c>
      <c r="AU80" s="13"/>
    </row>
    <row r="81" spans="1:47" ht="16" x14ac:dyDescent="0.25">
      <c r="A81" s="9">
        <v>11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1</v>
      </c>
      <c r="AA81">
        <v>0</v>
      </c>
      <c r="AB81">
        <v>0</v>
      </c>
      <c r="AC81">
        <v>0</v>
      </c>
      <c r="AD81">
        <v>0.42823239539703578</v>
      </c>
      <c r="AE81">
        <v>2.5050274942234299E-3</v>
      </c>
      <c r="AF81">
        <v>0.58496917121389036</v>
      </c>
      <c r="AH81">
        <f t="shared" si="1"/>
        <v>0.42823239539703578</v>
      </c>
      <c r="AJ81">
        <v>0.42873629927635099</v>
      </c>
      <c r="AK81">
        <v>3.1784742604941099E-3</v>
      </c>
      <c r="AL81" s="13"/>
      <c r="AM81" s="13">
        <v>0.39877647757530199</v>
      </c>
      <c r="AN81">
        <v>2.2165745569395701E-2</v>
      </c>
      <c r="AS81">
        <v>0.35714751741713102</v>
      </c>
      <c r="AU81" s="13"/>
    </row>
    <row r="82" spans="1:47" ht="16" x14ac:dyDescent="0.25">
      <c r="A82" s="9">
        <v>13</v>
      </c>
      <c r="B82">
        <v>1</v>
      </c>
      <c r="C82">
        <v>0</v>
      </c>
      <c r="D82">
        <v>0</v>
      </c>
      <c r="E82">
        <v>0</v>
      </c>
      <c r="F82">
        <v>1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0</v>
      </c>
      <c r="U82">
        <v>0</v>
      </c>
      <c r="V82">
        <v>1</v>
      </c>
      <c r="W82">
        <v>1</v>
      </c>
      <c r="X82">
        <v>1</v>
      </c>
      <c r="Y82">
        <v>0</v>
      </c>
      <c r="Z82">
        <v>0</v>
      </c>
      <c r="AA82">
        <v>1</v>
      </c>
      <c r="AB82">
        <v>1</v>
      </c>
      <c r="AC82">
        <v>1</v>
      </c>
      <c r="AD82">
        <v>0.85443366393834763</v>
      </c>
      <c r="AE82">
        <v>5.4131337241158546E-3</v>
      </c>
      <c r="AF82">
        <v>0.63353469702551934</v>
      </c>
      <c r="AH82">
        <f t="shared" si="1"/>
        <v>0.85443366393834763</v>
      </c>
      <c r="AJ82">
        <v>0.84393721818923895</v>
      </c>
      <c r="AK82">
        <v>7.3074544779956297E-3</v>
      </c>
      <c r="AL82" s="13"/>
      <c r="AM82" s="13">
        <v>0.80108894109725903</v>
      </c>
      <c r="AN82">
        <v>2.57286173079193E-2</v>
      </c>
      <c r="AS82">
        <v>0.58202193334832597</v>
      </c>
      <c r="AU82" s="13"/>
    </row>
    <row r="83" spans="1:47" ht="16" x14ac:dyDescent="0.25">
      <c r="A83" s="9">
        <v>14</v>
      </c>
      <c r="B83">
        <v>1</v>
      </c>
      <c r="C83">
        <v>0</v>
      </c>
      <c r="D83">
        <v>0</v>
      </c>
      <c r="E83">
        <v>0</v>
      </c>
      <c r="F83">
        <v>1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0</v>
      </c>
      <c r="U83">
        <v>0</v>
      </c>
      <c r="V83">
        <v>1</v>
      </c>
      <c r="W83">
        <v>1</v>
      </c>
      <c r="X83">
        <v>1</v>
      </c>
      <c r="Y83">
        <v>1</v>
      </c>
      <c r="Z83">
        <v>1</v>
      </c>
      <c r="AA83">
        <v>0</v>
      </c>
      <c r="AB83">
        <v>0</v>
      </c>
      <c r="AC83">
        <v>0</v>
      </c>
      <c r="AD83">
        <v>0.52304775436448891</v>
      </c>
      <c r="AE83">
        <v>1.0548028526300379E-2</v>
      </c>
      <c r="AF83">
        <v>2.016647321068493</v>
      </c>
      <c r="AH83">
        <f t="shared" si="1"/>
        <v>0.52304775436448891</v>
      </c>
      <c r="AJ83">
        <v>0.51728367805480902</v>
      </c>
      <c r="AK83">
        <v>1.1243022978305799E-2</v>
      </c>
      <c r="AL83" s="13"/>
      <c r="AM83" s="13">
        <v>0.56099456548690796</v>
      </c>
      <c r="AN83">
        <v>2.0871761166892901E-2</v>
      </c>
      <c r="AS83">
        <v>0.49703744035132902</v>
      </c>
      <c r="AU83" s="13"/>
    </row>
    <row r="84" spans="1:47" ht="16" x14ac:dyDescent="0.25">
      <c r="A84" s="9">
        <v>15</v>
      </c>
      <c r="B84">
        <v>1</v>
      </c>
      <c r="C84">
        <v>0</v>
      </c>
      <c r="D84">
        <v>0</v>
      </c>
      <c r="E84">
        <v>0</v>
      </c>
      <c r="F84">
        <v>1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0</v>
      </c>
      <c r="U84">
        <v>0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0.76652893619289453</v>
      </c>
      <c r="AE84">
        <v>8.3570130085490121E-3</v>
      </c>
      <c r="AF84">
        <v>1.0902410351337339</v>
      </c>
      <c r="AH84">
        <f t="shared" si="1"/>
        <v>0.76652893619289453</v>
      </c>
      <c r="AJ84">
        <v>0.76081055402755704</v>
      </c>
      <c r="AK84">
        <v>7.6253423467278402E-3</v>
      </c>
      <c r="AL84" s="13"/>
      <c r="AM84" s="13">
        <v>0.74127893447875903</v>
      </c>
      <c r="AN84">
        <v>3.2732692454885103E-2</v>
      </c>
      <c r="AS84">
        <v>0.61154301081308604</v>
      </c>
      <c r="AU84" s="13"/>
    </row>
    <row r="85" spans="1:47" ht="16" x14ac:dyDescent="0.25">
      <c r="A85" s="9">
        <v>1</v>
      </c>
      <c r="B85">
        <v>0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0.41804663709628709</v>
      </c>
      <c r="AE85">
        <v>1.0867550787295991E-2</v>
      </c>
      <c r="AF85">
        <v>2.599602489995132</v>
      </c>
      <c r="AH85">
        <f t="shared" si="1"/>
        <v>0.41804663709628709</v>
      </c>
      <c r="AJ85">
        <v>0.41982278227806002</v>
      </c>
      <c r="AK85">
        <v>7.9741422086954099E-3</v>
      </c>
      <c r="AL85" s="13"/>
      <c r="AM85" s="13">
        <v>0.38138081431388798</v>
      </c>
      <c r="AN85">
        <v>1.7056876311994099E-2</v>
      </c>
      <c r="AS85">
        <v>0.28423975208913599</v>
      </c>
      <c r="AU85" s="13"/>
    </row>
    <row r="86" spans="1:47" ht="16" x14ac:dyDescent="0.25">
      <c r="A86" s="9">
        <v>2</v>
      </c>
      <c r="B86">
        <v>0</v>
      </c>
      <c r="C86">
        <v>1</v>
      </c>
      <c r="D86">
        <v>0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0.89931199347118118</v>
      </c>
      <c r="AE86">
        <v>6.1023433734117916E-3</v>
      </c>
      <c r="AF86">
        <v>0.67855687655825125</v>
      </c>
      <c r="AH86">
        <f t="shared" si="1"/>
        <v>0.89931199347118118</v>
      </c>
      <c r="AJ86">
        <v>0.85370296239852905</v>
      </c>
      <c r="AK86">
        <v>4.40231673419475E-2</v>
      </c>
      <c r="AL86" s="13"/>
      <c r="AM86" s="13">
        <v>0.78506841659545901</v>
      </c>
      <c r="AN86">
        <v>2.3485416257091999E-2</v>
      </c>
      <c r="AS86">
        <v>0.84464262054945105</v>
      </c>
      <c r="AU86" s="13"/>
    </row>
    <row r="87" spans="1:47" ht="16" x14ac:dyDescent="0.25">
      <c r="A87" s="9">
        <v>3</v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0.37226498676703168</v>
      </c>
      <c r="AE87">
        <v>1.0594244265274321E-3</v>
      </c>
      <c r="AF87">
        <v>0.28458879136823939</v>
      </c>
      <c r="AH87">
        <f t="shared" si="1"/>
        <v>0.37226498676703168</v>
      </c>
      <c r="AJ87">
        <v>0.39548039436340299</v>
      </c>
      <c r="AK87">
        <v>1.24350823462009E-2</v>
      </c>
      <c r="AL87" s="13"/>
      <c r="AM87" s="13">
        <v>0.406892299652099</v>
      </c>
      <c r="AN87">
        <v>3.4843597733167801E-2</v>
      </c>
      <c r="AS87">
        <v>0.28882876327734702</v>
      </c>
      <c r="AU87" s="13"/>
    </row>
    <row r="88" spans="1:47" ht="16" x14ac:dyDescent="0.25">
      <c r="A88" s="9">
        <v>4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0.38479944699847007</v>
      </c>
      <c r="AE88">
        <v>1.861205107463319E-2</v>
      </c>
      <c r="AF88">
        <v>4.8368185608923673</v>
      </c>
      <c r="AH88">
        <f t="shared" si="1"/>
        <v>0.38479944699847007</v>
      </c>
      <c r="AJ88">
        <v>0.39739832282066301</v>
      </c>
      <c r="AK88">
        <v>8.6925616487860593E-3</v>
      </c>
      <c r="AL88" s="13"/>
      <c r="AM88" s="13">
        <v>0.400612258911132</v>
      </c>
      <c r="AN88">
        <v>2.7275665067271498E-2</v>
      </c>
      <c r="AS88">
        <v>0.29166513839944402</v>
      </c>
      <c r="AU88" s="13"/>
    </row>
    <row r="89" spans="1:47" ht="16" x14ac:dyDescent="0.25">
      <c r="A89" s="9">
        <v>5</v>
      </c>
      <c r="B89">
        <v>0</v>
      </c>
      <c r="C89">
        <v>1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  <c r="O89">
        <v>0</v>
      </c>
      <c r="P89">
        <v>1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0.37601430176682649</v>
      </c>
      <c r="AE89">
        <v>5.8191112966586144E-3</v>
      </c>
      <c r="AF89">
        <v>1.5475771185605469</v>
      </c>
      <c r="AH89">
        <f t="shared" si="1"/>
        <v>0.37601430176682649</v>
      </c>
      <c r="AJ89">
        <v>0.40471777319908098</v>
      </c>
      <c r="AK89">
        <v>8.99915304034948E-3</v>
      </c>
      <c r="AL89" s="13"/>
      <c r="AM89" s="13">
        <v>0.43506226539611798</v>
      </c>
      <c r="AN89">
        <v>1.88674431934087E-2</v>
      </c>
      <c r="AS89">
        <v>0.32861063145298097</v>
      </c>
      <c r="AU89" s="13"/>
    </row>
    <row r="90" spans="1:47" ht="16" x14ac:dyDescent="0.25">
      <c r="A90" s="9">
        <v>6</v>
      </c>
      <c r="B90">
        <v>0</v>
      </c>
      <c r="C90">
        <v>1</v>
      </c>
      <c r="D90">
        <v>0</v>
      </c>
      <c r="E90">
        <v>0</v>
      </c>
      <c r="F90">
        <v>1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1</v>
      </c>
      <c r="N90">
        <v>0</v>
      </c>
      <c r="O90">
        <v>0</v>
      </c>
      <c r="P90">
        <v>1</v>
      </c>
      <c r="Q90">
        <v>1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0.54957423978481468</v>
      </c>
      <c r="AE90">
        <v>1.7191590218186718E-2</v>
      </c>
      <c r="AF90">
        <v>3.1281652183912532</v>
      </c>
      <c r="AH90">
        <f t="shared" si="1"/>
        <v>0.54957423978481468</v>
      </c>
      <c r="AJ90">
        <v>0.52998423576354903</v>
      </c>
      <c r="AK90">
        <v>1.8202835693955401E-2</v>
      </c>
      <c r="AL90" s="13"/>
      <c r="AM90" s="13">
        <v>0.46907590031623803</v>
      </c>
      <c r="AN90">
        <v>9.5905379478081892E-3</v>
      </c>
      <c r="AS90">
        <v>0.33410281180665602</v>
      </c>
      <c r="AU90" s="13"/>
    </row>
    <row r="91" spans="1:47" ht="16" x14ac:dyDescent="0.25">
      <c r="A91" s="9">
        <v>7</v>
      </c>
      <c r="B91">
        <v>0</v>
      </c>
      <c r="C91">
        <v>1</v>
      </c>
      <c r="D91">
        <v>0</v>
      </c>
      <c r="E91">
        <v>0</v>
      </c>
      <c r="F91">
        <v>1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1</v>
      </c>
      <c r="N91">
        <v>1</v>
      </c>
      <c r="O91">
        <v>1</v>
      </c>
      <c r="P91">
        <v>1</v>
      </c>
      <c r="Q91">
        <v>1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0.44627380764766428</v>
      </c>
      <c r="AE91">
        <v>9.7612671309064123E-4</v>
      </c>
      <c r="AF91">
        <v>0.21872821043113941</v>
      </c>
      <c r="AH91">
        <f t="shared" si="1"/>
        <v>0.44627380764766428</v>
      </c>
      <c r="AJ91">
        <v>0.44988337159156799</v>
      </c>
      <c r="AK91">
        <v>8.1574944779276796E-3</v>
      </c>
      <c r="AL91" s="13"/>
      <c r="AM91" s="13">
        <v>0.49083428978919902</v>
      </c>
      <c r="AN91">
        <v>1.29327838499313E-2</v>
      </c>
      <c r="AS91">
        <v>0.343721445993729</v>
      </c>
      <c r="AU91" s="13"/>
    </row>
    <row r="92" spans="1:47" ht="16" x14ac:dyDescent="0.25">
      <c r="A92" s="9">
        <v>8</v>
      </c>
      <c r="B92">
        <v>0</v>
      </c>
      <c r="C92">
        <v>1</v>
      </c>
      <c r="D92">
        <v>0</v>
      </c>
      <c r="E92">
        <v>0</v>
      </c>
      <c r="F92">
        <v>1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0</v>
      </c>
      <c r="U92">
        <v>0</v>
      </c>
      <c r="V92">
        <v>1</v>
      </c>
      <c r="W92">
        <v>1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0.50884043407504731</v>
      </c>
      <c r="AE92">
        <v>7.9913216928039314E-3</v>
      </c>
      <c r="AF92">
        <v>1.570496595328609</v>
      </c>
      <c r="AH92">
        <f t="shared" si="1"/>
        <v>0.50884043407504731</v>
      </c>
      <c r="AJ92">
        <v>0.48492732644081099</v>
      </c>
      <c r="AK92">
        <v>1.1777279898524199E-2</v>
      </c>
      <c r="AL92" s="13"/>
      <c r="AM92" s="13">
        <v>0.476668488979339</v>
      </c>
      <c r="AN92">
        <v>3.3891961828573E-2</v>
      </c>
      <c r="AS92">
        <v>0.41916044565761901</v>
      </c>
      <c r="AU92" s="13"/>
    </row>
    <row r="93" spans="1:47" ht="16" x14ac:dyDescent="0.25">
      <c r="A93" s="9">
        <v>9</v>
      </c>
      <c r="B93">
        <v>0</v>
      </c>
      <c r="C93">
        <v>1</v>
      </c>
      <c r="D93">
        <v>0</v>
      </c>
      <c r="E93">
        <v>0</v>
      </c>
      <c r="F93">
        <v>1</v>
      </c>
      <c r="G93">
        <v>0</v>
      </c>
      <c r="H93">
        <v>0</v>
      </c>
      <c r="I93">
        <v>1</v>
      </c>
      <c r="J93">
        <v>0</v>
      </c>
      <c r="K93">
        <v>0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0.66229907886707051</v>
      </c>
      <c r="AE93">
        <v>3.889109908174722E-3</v>
      </c>
      <c r="AF93">
        <v>0.58721354630712119</v>
      </c>
      <c r="AH93">
        <f t="shared" si="1"/>
        <v>0.66229907886707051</v>
      </c>
      <c r="AJ93">
        <v>0.63781476020812899</v>
      </c>
      <c r="AK93">
        <v>1.6222396865487099E-2</v>
      </c>
      <c r="AL93" s="13"/>
      <c r="AM93" s="13">
        <v>0.68839795589446995</v>
      </c>
      <c r="AN93">
        <v>1.8751542754109E-2</v>
      </c>
      <c r="AS93">
        <v>0.47664782554701401</v>
      </c>
      <c r="AU93" s="13"/>
    </row>
    <row r="94" spans="1:47" ht="16" x14ac:dyDescent="0.25">
      <c r="A94" s="9">
        <v>11</v>
      </c>
      <c r="B94">
        <v>0</v>
      </c>
      <c r="C94">
        <v>1</v>
      </c>
      <c r="D94">
        <v>0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0</v>
      </c>
      <c r="AB94">
        <v>0</v>
      </c>
      <c r="AC94">
        <v>0</v>
      </c>
      <c r="AD94">
        <v>0.84308337506646214</v>
      </c>
      <c r="AE94">
        <v>7.5839128856669486E-3</v>
      </c>
      <c r="AF94">
        <v>0.89954482675798142</v>
      </c>
      <c r="AH94">
        <f t="shared" si="1"/>
        <v>0.84308337506646214</v>
      </c>
      <c r="AJ94">
        <v>0.773431956768035</v>
      </c>
      <c r="AK94">
        <v>3.2418757677078198E-2</v>
      </c>
      <c r="AL94" s="13"/>
      <c r="AM94" s="13">
        <v>0.64379825592040996</v>
      </c>
      <c r="AN94">
        <v>1.7166559338466E-2</v>
      </c>
      <c r="AS94">
        <v>0.70884050742787996</v>
      </c>
      <c r="AU94" s="13"/>
    </row>
    <row r="95" spans="1:47" ht="16" x14ac:dyDescent="0.25">
      <c r="A95" s="9">
        <v>12</v>
      </c>
      <c r="B95">
        <v>0</v>
      </c>
      <c r="C95">
        <v>1</v>
      </c>
      <c r="D95">
        <v>0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0</v>
      </c>
      <c r="Z95">
        <v>0</v>
      </c>
      <c r="AA95">
        <v>1</v>
      </c>
      <c r="AB95">
        <v>1</v>
      </c>
      <c r="AC95">
        <v>1</v>
      </c>
      <c r="AD95">
        <v>0.74140889376172603</v>
      </c>
      <c r="AE95">
        <v>1.2617656079738819E-3</v>
      </c>
      <c r="AF95">
        <v>0.17018484922294291</v>
      </c>
      <c r="AH95">
        <f t="shared" si="1"/>
        <v>0.74140889376172603</v>
      </c>
      <c r="AJ95">
        <v>0.79428631067276001</v>
      </c>
      <c r="AK95">
        <v>3.7322510033845901E-2</v>
      </c>
      <c r="AL95" s="13"/>
      <c r="AM95" s="13">
        <v>0.85709807872772203</v>
      </c>
      <c r="AN95">
        <v>2.7845833596018599E-2</v>
      </c>
      <c r="AS95">
        <v>0.81294863950688001</v>
      </c>
      <c r="AU95" s="13"/>
    </row>
    <row r="96" spans="1:47" ht="16" x14ac:dyDescent="0.25">
      <c r="A96" s="9">
        <v>13</v>
      </c>
      <c r="B96">
        <v>0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  <c r="Z96">
        <v>1</v>
      </c>
      <c r="AA96">
        <v>0</v>
      </c>
      <c r="AB96">
        <v>0</v>
      </c>
      <c r="AC96">
        <v>0</v>
      </c>
      <c r="AD96">
        <v>0.36443633151377608</v>
      </c>
      <c r="AE96">
        <v>1.14185235790685E-3</v>
      </c>
      <c r="AF96">
        <v>0.31332012183414448</v>
      </c>
      <c r="AH96">
        <f t="shared" si="1"/>
        <v>0.36443633151377608</v>
      </c>
      <c r="AJ96">
        <v>0.38140663504600503</v>
      </c>
      <c r="AK96">
        <v>7.0397299714386402E-3</v>
      </c>
      <c r="AL96" s="13"/>
      <c r="AM96" s="13">
        <v>0.33915510177612301</v>
      </c>
      <c r="AN96">
        <v>3.44520014122996E-2</v>
      </c>
      <c r="AS96">
        <v>0.313906634580704</v>
      </c>
      <c r="AU96" s="13"/>
    </row>
    <row r="97" spans="1:47" ht="16" x14ac:dyDescent="0.25">
      <c r="A97" s="9">
        <v>14</v>
      </c>
      <c r="B97">
        <v>0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B97">
        <v>1</v>
      </c>
      <c r="AC97">
        <v>1</v>
      </c>
      <c r="AD97">
        <v>0.4652064586147398</v>
      </c>
      <c r="AE97">
        <v>6.5188749716355073E-3</v>
      </c>
      <c r="AF97">
        <v>1.401286429050657</v>
      </c>
      <c r="AH97">
        <f t="shared" si="1"/>
        <v>0.4652064586147398</v>
      </c>
      <c r="AJ97">
        <v>0.45734548568725503</v>
      </c>
      <c r="AK97">
        <v>5.8576613664626997E-3</v>
      </c>
      <c r="AL97" s="13"/>
      <c r="AM97" s="13">
        <v>0.416307127475738</v>
      </c>
      <c r="AN97">
        <v>2.7449508071073901E-2</v>
      </c>
      <c r="AS97">
        <v>0.432729071000512</v>
      </c>
      <c r="AU97" s="13"/>
    </row>
    <row r="98" spans="1:47" ht="16" x14ac:dyDescent="0.25">
      <c r="A98" s="9">
        <v>15</v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1</v>
      </c>
      <c r="AA98">
        <v>1</v>
      </c>
      <c r="AB98">
        <v>1</v>
      </c>
      <c r="AC98">
        <v>1</v>
      </c>
      <c r="AD98">
        <v>0.37780105002636688</v>
      </c>
      <c r="AE98">
        <v>2.2318452511214939E-3</v>
      </c>
      <c r="AF98">
        <v>0.59074617473025359</v>
      </c>
      <c r="AH98">
        <f t="shared" si="1"/>
        <v>0.37780105002636688</v>
      </c>
      <c r="AJ98">
        <v>0.39353060722351002</v>
      </c>
      <c r="AK98">
        <v>6.7089335061609702E-3</v>
      </c>
      <c r="AL98" s="13"/>
      <c r="AM98" s="13">
        <v>0.445600134134292</v>
      </c>
      <c r="AN98">
        <v>2.2578278981890298E-2</v>
      </c>
      <c r="AS98">
        <v>0.47302142979777401</v>
      </c>
      <c r="AU98" s="13"/>
    </row>
    <row r="99" spans="1:47" ht="16" x14ac:dyDescent="0.25">
      <c r="A99" s="9">
        <v>17</v>
      </c>
      <c r="B99">
        <v>0</v>
      </c>
      <c r="C99">
        <v>1</v>
      </c>
      <c r="D99">
        <v>0</v>
      </c>
      <c r="E99">
        <v>1</v>
      </c>
      <c r="F99">
        <v>0</v>
      </c>
      <c r="G99">
        <v>1</v>
      </c>
      <c r="H99">
        <v>1</v>
      </c>
      <c r="I99">
        <v>0</v>
      </c>
      <c r="J99">
        <v>1</v>
      </c>
      <c r="K99">
        <v>1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1</v>
      </c>
      <c r="U99">
        <v>1</v>
      </c>
      <c r="V99">
        <v>1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0.51879691353610347</v>
      </c>
      <c r="AE99">
        <v>2.008972535661974E-2</v>
      </c>
      <c r="AF99">
        <v>3.8723679406048901</v>
      </c>
      <c r="AH99">
        <f t="shared" si="1"/>
        <v>0.51879691353610347</v>
      </c>
      <c r="AJ99">
        <v>0.49169740080833402</v>
      </c>
      <c r="AK99">
        <v>1.1252652853727301E-2</v>
      </c>
      <c r="AL99" s="13"/>
      <c r="AM99" s="13">
        <v>0.46029316186904901</v>
      </c>
      <c r="AN99">
        <v>4.8346194759141398E-2</v>
      </c>
      <c r="AS99">
        <v>0.63871545423778098</v>
      </c>
      <c r="AU99" s="13"/>
    </row>
    <row r="100" spans="1:47" ht="16" x14ac:dyDescent="0.25">
      <c r="A100" s="9">
        <v>18</v>
      </c>
      <c r="B100">
        <v>0</v>
      </c>
      <c r="C100">
        <v>1</v>
      </c>
      <c r="D100">
        <v>0</v>
      </c>
      <c r="E100">
        <v>1</v>
      </c>
      <c r="F100">
        <v>0</v>
      </c>
      <c r="G100">
        <v>1</v>
      </c>
      <c r="H100">
        <v>1</v>
      </c>
      <c r="I100">
        <v>0</v>
      </c>
      <c r="J100">
        <v>1</v>
      </c>
      <c r="K100">
        <v>1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1</v>
      </c>
      <c r="U100">
        <v>1</v>
      </c>
      <c r="V100">
        <v>1</v>
      </c>
      <c r="W100">
        <v>1</v>
      </c>
      <c r="X100">
        <v>0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0.38737666805601612</v>
      </c>
      <c r="AE100">
        <v>3.1432604308156459E-3</v>
      </c>
      <c r="AF100">
        <v>0.81142223835771099</v>
      </c>
      <c r="AH100">
        <f t="shared" si="1"/>
        <v>0.38737666805601612</v>
      </c>
      <c r="AJ100">
        <v>0.419856637716293</v>
      </c>
      <c r="AK100">
        <v>1.2393782846629601E-2</v>
      </c>
      <c r="AL100" s="13"/>
      <c r="AM100" s="13">
        <v>0.45524126291275002</v>
      </c>
      <c r="AN100">
        <v>4.09322857108083E-2</v>
      </c>
      <c r="AS100">
        <v>0.791597067305012</v>
      </c>
      <c r="AU100" s="13"/>
    </row>
    <row r="101" spans="1:47" ht="16" x14ac:dyDescent="0.25">
      <c r="A101" s="9">
        <v>19</v>
      </c>
      <c r="B101">
        <v>0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0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0.50219311314351334</v>
      </c>
      <c r="AE101">
        <v>2.0999593922924061E-2</v>
      </c>
      <c r="AF101">
        <v>4.1815774396975733</v>
      </c>
      <c r="AH101">
        <f t="shared" si="1"/>
        <v>0.50219311314351334</v>
      </c>
      <c r="AJ101">
        <v>0.514548480510711</v>
      </c>
      <c r="AK101">
        <v>4.2808195576071696E-3</v>
      </c>
      <c r="AL101" s="13"/>
      <c r="AM101" s="13">
        <v>0.59771651029586703</v>
      </c>
      <c r="AN101">
        <v>2.8665191530211302E-2</v>
      </c>
      <c r="AS101">
        <v>0.83031318234705798</v>
      </c>
      <c r="AU101" s="13"/>
    </row>
    <row r="102" spans="1:47" ht="16" x14ac:dyDescent="0.25">
      <c r="A102" s="9">
        <v>11</v>
      </c>
      <c r="B102">
        <v>0</v>
      </c>
      <c r="C102">
        <v>1</v>
      </c>
      <c r="D102">
        <v>0</v>
      </c>
      <c r="E102">
        <v>1</v>
      </c>
      <c r="F102">
        <v>0</v>
      </c>
      <c r="G102">
        <v>1</v>
      </c>
      <c r="H102">
        <v>1</v>
      </c>
      <c r="I102">
        <v>0</v>
      </c>
      <c r="J102">
        <v>1</v>
      </c>
      <c r="K102">
        <v>1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0.37477967269433088</v>
      </c>
      <c r="AE102">
        <v>4.8603070810243933E-3</v>
      </c>
      <c r="AF102">
        <v>1.2968438352280769</v>
      </c>
      <c r="AH102">
        <f t="shared" si="1"/>
        <v>0.37477967269433088</v>
      </c>
      <c r="AJ102">
        <v>0.39760312438011097</v>
      </c>
      <c r="AK102">
        <v>1.6760649159550601E-2</v>
      </c>
      <c r="AL102" s="13"/>
      <c r="AM102" s="13">
        <v>0.50202077627181996</v>
      </c>
      <c r="AN102">
        <v>2.2657322622354901E-2</v>
      </c>
      <c r="AS102">
        <v>0.62474145170408502</v>
      </c>
      <c r="AU102" s="13"/>
    </row>
    <row r="103" spans="1:47" ht="16" x14ac:dyDescent="0.25">
      <c r="A103" s="9">
        <v>12</v>
      </c>
      <c r="B103">
        <v>0</v>
      </c>
      <c r="C103">
        <v>1</v>
      </c>
      <c r="D103">
        <v>0</v>
      </c>
      <c r="E103">
        <v>1</v>
      </c>
      <c r="F103">
        <v>1</v>
      </c>
      <c r="G103">
        <v>1</v>
      </c>
      <c r="H103">
        <v>1</v>
      </c>
      <c r="I103">
        <v>0</v>
      </c>
      <c r="J103">
        <v>1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1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0.41077396951857359</v>
      </c>
      <c r="AE103">
        <v>2.1054633707947778E-3</v>
      </c>
      <c r="AF103">
        <v>0.51256007610764076</v>
      </c>
      <c r="AH103">
        <f t="shared" si="1"/>
        <v>0.41077396951857359</v>
      </c>
      <c r="AJ103">
        <v>0.41235306859016402</v>
      </c>
      <c r="AK103">
        <v>2.1529145538806901E-2</v>
      </c>
      <c r="AL103" s="13"/>
      <c r="AM103" s="13">
        <v>0.49274724125862102</v>
      </c>
      <c r="AN103">
        <v>2.2233473739824799E-2</v>
      </c>
      <c r="AS103">
        <v>0.64919026856692796</v>
      </c>
      <c r="AU103" s="13"/>
    </row>
    <row r="104" spans="1:47" ht="16" x14ac:dyDescent="0.25">
      <c r="A104" s="9">
        <v>13</v>
      </c>
      <c r="B104">
        <v>0</v>
      </c>
      <c r="C104">
        <v>1</v>
      </c>
      <c r="D104">
        <v>0</v>
      </c>
      <c r="E104">
        <v>1</v>
      </c>
      <c r="F104">
        <v>1</v>
      </c>
      <c r="G104">
        <v>1</v>
      </c>
      <c r="H104">
        <v>1</v>
      </c>
      <c r="I104">
        <v>0</v>
      </c>
      <c r="J104">
        <v>1</v>
      </c>
      <c r="K104">
        <v>1</v>
      </c>
      <c r="L104">
        <v>1</v>
      </c>
      <c r="M104">
        <v>0</v>
      </c>
      <c r="N104">
        <v>1</v>
      </c>
      <c r="O104">
        <v>1</v>
      </c>
      <c r="P104">
        <v>0</v>
      </c>
      <c r="Q104">
        <v>0</v>
      </c>
      <c r="R104">
        <v>0</v>
      </c>
      <c r="S104">
        <v>1</v>
      </c>
      <c r="T104">
        <v>1</v>
      </c>
      <c r="U104">
        <v>1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0.59412662643901271</v>
      </c>
      <c r="AE104">
        <v>7.7382065490691748E-3</v>
      </c>
      <c r="AF104">
        <v>1.3024507242587799</v>
      </c>
      <c r="AH104">
        <f t="shared" si="1"/>
        <v>0.59412662643901271</v>
      </c>
      <c r="AJ104">
        <v>0.58554601669311501</v>
      </c>
      <c r="AK104">
        <v>1.5819037333130798E-2</v>
      </c>
      <c r="AL104" s="13"/>
      <c r="AM104" s="13">
        <v>0.62969955205917305</v>
      </c>
      <c r="AN104">
        <v>1.26558028210295E-2</v>
      </c>
      <c r="AS104">
        <v>0.65207399718217196</v>
      </c>
      <c r="AU104" s="13"/>
    </row>
    <row r="105" spans="1:47" ht="16" x14ac:dyDescent="0.25">
      <c r="A105" s="9">
        <v>14</v>
      </c>
      <c r="B105">
        <v>0</v>
      </c>
      <c r="C105">
        <v>1</v>
      </c>
      <c r="D105">
        <v>0</v>
      </c>
      <c r="E105">
        <v>1</v>
      </c>
      <c r="F105">
        <v>1</v>
      </c>
      <c r="G105">
        <v>1</v>
      </c>
      <c r="H105">
        <v>1</v>
      </c>
      <c r="I105">
        <v>0</v>
      </c>
      <c r="J105">
        <v>1</v>
      </c>
      <c r="K105">
        <v>1</v>
      </c>
      <c r="L105">
        <v>1</v>
      </c>
      <c r="M105">
        <v>0</v>
      </c>
      <c r="N105">
        <v>1</v>
      </c>
      <c r="O105">
        <v>1</v>
      </c>
      <c r="P105">
        <v>1</v>
      </c>
      <c r="Q105">
        <v>0</v>
      </c>
      <c r="R105">
        <v>0</v>
      </c>
      <c r="S105">
        <v>1</v>
      </c>
      <c r="T105">
        <v>1</v>
      </c>
      <c r="U105">
        <v>1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0.5754304709039082</v>
      </c>
      <c r="AE105">
        <v>4.3636082225206223E-3</v>
      </c>
      <c r="AF105">
        <v>0.75832067350658361</v>
      </c>
      <c r="AH105">
        <f t="shared" si="1"/>
        <v>0.5754304709039082</v>
      </c>
      <c r="AJ105">
        <v>0.56741786003112704</v>
      </c>
      <c r="AK105">
        <v>1.9102811813354399E-2</v>
      </c>
      <c r="AL105" s="13"/>
      <c r="AM105" s="13">
        <v>0.59391419887542696</v>
      </c>
      <c r="AN105">
        <v>6.8949887786414702E-3</v>
      </c>
      <c r="AS105">
        <v>0.65492298329516496</v>
      </c>
      <c r="AU105" s="13"/>
    </row>
    <row r="106" spans="1:47" ht="16" x14ac:dyDescent="0.25">
      <c r="A106" s="9">
        <v>15</v>
      </c>
      <c r="B106">
        <v>0</v>
      </c>
      <c r="C106">
        <v>1</v>
      </c>
      <c r="D106">
        <v>0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0</v>
      </c>
      <c r="N106">
        <v>1</v>
      </c>
      <c r="O106">
        <v>1</v>
      </c>
      <c r="P106">
        <v>1</v>
      </c>
      <c r="Q106">
        <v>1</v>
      </c>
      <c r="R106">
        <v>0</v>
      </c>
      <c r="S106">
        <v>1</v>
      </c>
      <c r="T106">
        <v>1</v>
      </c>
      <c r="U106">
        <v>1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0.65646211861144355</v>
      </c>
      <c r="AE106">
        <v>2.997222992303717E-3</v>
      </c>
      <c r="AF106">
        <v>0.45657211700859118</v>
      </c>
      <c r="AH106">
        <f t="shared" si="1"/>
        <v>0.65646211861144355</v>
      </c>
      <c r="AJ106">
        <v>0.656410992145538</v>
      </c>
      <c r="AK106">
        <v>2.7780460193753201E-2</v>
      </c>
      <c r="AL106" s="13"/>
      <c r="AM106" s="13">
        <v>0.688472056388855</v>
      </c>
      <c r="AN106">
        <v>1.7155222816562201E-2</v>
      </c>
      <c r="AS106">
        <v>0.659824739971826</v>
      </c>
      <c r="AU106" s="13"/>
    </row>
    <row r="107" spans="1:47" ht="16" x14ac:dyDescent="0.25">
      <c r="A107" s="9">
        <v>16</v>
      </c>
      <c r="B107">
        <v>0</v>
      </c>
      <c r="C107">
        <v>1</v>
      </c>
      <c r="D107">
        <v>0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0</v>
      </c>
      <c r="S107">
        <v>1</v>
      </c>
      <c r="T107">
        <v>1</v>
      </c>
      <c r="U107">
        <v>1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0.65768316972727414</v>
      </c>
      <c r="AE107">
        <v>1.9966591062924839E-3</v>
      </c>
      <c r="AF107">
        <v>0.30358981318017492</v>
      </c>
      <c r="AH107">
        <f t="shared" si="1"/>
        <v>0.65768316972727414</v>
      </c>
      <c r="AJ107">
        <v>0.65662509202957098</v>
      </c>
      <c r="AK107">
        <v>6.7642242647707402E-3</v>
      </c>
      <c r="AL107" s="13"/>
      <c r="AM107" s="13">
        <v>0.67112717628479002</v>
      </c>
      <c r="AN107">
        <v>1.6380098848133299E-2</v>
      </c>
      <c r="AS107">
        <v>0.66554618730292003</v>
      </c>
      <c r="AU107" s="13"/>
    </row>
    <row r="108" spans="1:47" ht="16" x14ac:dyDescent="0.25">
      <c r="A108" s="9">
        <v>17</v>
      </c>
      <c r="B108">
        <v>0</v>
      </c>
      <c r="C108">
        <v>1</v>
      </c>
      <c r="D108">
        <v>0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0.79560005800998912</v>
      </c>
      <c r="AE108">
        <v>2.391403548404538E-2</v>
      </c>
      <c r="AF108">
        <v>3.0057860407729038</v>
      </c>
      <c r="AH108">
        <f t="shared" si="1"/>
        <v>0.79560005800998912</v>
      </c>
      <c r="AJ108">
        <v>0.73003143072128296</v>
      </c>
      <c r="AK108">
        <v>3.1164824962615901E-2</v>
      </c>
      <c r="AL108" s="13"/>
      <c r="AM108" s="13">
        <v>0.73513102531433105</v>
      </c>
      <c r="AN108">
        <v>2.7827884710245301E-2</v>
      </c>
      <c r="AS108">
        <v>0.67922533015106001</v>
      </c>
      <c r="AU108" s="13"/>
    </row>
    <row r="109" spans="1:47" ht="16" x14ac:dyDescent="0.25">
      <c r="A109" s="9">
        <v>19</v>
      </c>
      <c r="B109">
        <v>0</v>
      </c>
      <c r="C109">
        <v>1</v>
      </c>
      <c r="D109">
        <v>0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0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0</v>
      </c>
      <c r="U109">
        <v>0</v>
      </c>
      <c r="V109">
        <v>1</v>
      </c>
      <c r="W109">
        <v>1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0.49797023230172022</v>
      </c>
      <c r="AE109">
        <v>1.5172200397242661E-3</v>
      </c>
      <c r="AF109">
        <v>0.30468087072421268</v>
      </c>
      <c r="AH109">
        <f t="shared" si="1"/>
        <v>0.49797023230172022</v>
      </c>
      <c r="AJ109">
        <v>0.50455445051193204</v>
      </c>
      <c r="AK109">
        <v>1.34510705247521E-2</v>
      </c>
      <c r="AL109" s="13"/>
      <c r="AM109" s="13">
        <v>0.53053199052810596</v>
      </c>
      <c r="AN109">
        <v>2.49781575211564E-2</v>
      </c>
      <c r="AS109">
        <v>0.58048446312063995</v>
      </c>
      <c r="AU109" s="13"/>
    </row>
    <row r="110" spans="1:47" ht="16" x14ac:dyDescent="0.25">
      <c r="A110" s="9">
        <v>21</v>
      </c>
      <c r="B110">
        <v>0</v>
      </c>
      <c r="C110">
        <v>1</v>
      </c>
      <c r="D110">
        <v>0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0</v>
      </c>
      <c r="K110">
        <v>0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0.66047464906016184</v>
      </c>
      <c r="AE110">
        <v>1.43344168732317E-2</v>
      </c>
      <c r="AF110">
        <v>2.1703205253417668</v>
      </c>
      <c r="AH110">
        <f t="shared" si="1"/>
        <v>0.66047464906016184</v>
      </c>
      <c r="AJ110">
        <v>0.653483986854553</v>
      </c>
      <c r="AK110">
        <v>1.84354018419981E-2</v>
      </c>
      <c r="AL110" s="13"/>
      <c r="AM110" s="13">
        <v>0.72426292896270705</v>
      </c>
      <c r="AN110">
        <v>2.1618893432752501E-2</v>
      </c>
      <c r="AS110">
        <v>0.64441954381145705</v>
      </c>
      <c r="AU110" s="13"/>
    </row>
    <row r="111" spans="1:47" ht="16" x14ac:dyDescent="0.25">
      <c r="A111" s="9">
        <v>25</v>
      </c>
      <c r="B111">
        <v>0</v>
      </c>
      <c r="C111">
        <v>1</v>
      </c>
      <c r="D111">
        <v>0</v>
      </c>
      <c r="E111">
        <v>1</v>
      </c>
      <c r="F111">
        <v>1</v>
      </c>
      <c r="G111">
        <v>1</v>
      </c>
      <c r="H111">
        <v>1</v>
      </c>
      <c r="I111">
        <v>0</v>
      </c>
      <c r="J111">
        <v>1</v>
      </c>
      <c r="K111">
        <v>1</v>
      </c>
      <c r="L111">
        <v>0</v>
      </c>
      <c r="M111">
        <v>0</v>
      </c>
      <c r="N111">
        <v>1</v>
      </c>
      <c r="O111">
        <v>1</v>
      </c>
      <c r="P111">
        <v>1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0.47544196233058977</v>
      </c>
      <c r="AE111">
        <v>4.549722821809263E-3</v>
      </c>
      <c r="AF111">
        <v>0.95694599599639407</v>
      </c>
      <c r="AH111">
        <f t="shared" si="1"/>
        <v>0.47544196233058977</v>
      </c>
      <c r="AJ111">
        <v>0.46585205197334201</v>
      </c>
      <c r="AK111">
        <v>6.3312537968158696E-3</v>
      </c>
      <c r="AL111" s="13"/>
      <c r="AM111" s="13">
        <v>0.44447496533393799</v>
      </c>
      <c r="AN111">
        <v>4.2866861852768702E-2</v>
      </c>
      <c r="AS111">
        <v>0.54741778537246999</v>
      </c>
      <c r="AU111" s="13"/>
    </row>
    <row r="112" spans="1:47" ht="16" x14ac:dyDescent="0.25">
      <c r="A112" s="9">
        <v>26</v>
      </c>
      <c r="B112">
        <v>0</v>
      </c>
      <c r="C112">
        <v>1</v>
      </c>
      <c r="D112">
        <v>0</v>
      </c>
      <c r="E112">
        <v>1</v>
      </c>
      <c r="F112">
        <v>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1</v>
      </c>
      <c r="R112">
        <v>1</v>
      </c>
      <c r="S112">
        <v>0</v>
      </c>
      <c r="T112">
        <v>0</v>
      </c>
      <c r="U112">
        <v>0</v>
      </c>
      <c r="V112">
        <v>1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0.42051762537220322</v>
      </c>
      <c r="AE112">
        <v>4.9684040093986763E-3</v>
      </c>
      <c r="AF112">
        <v>1.1814972095405289</v>
      </c>
      <c r="AH112">
        <f t="shared" si="1"/>
        <v>0.42051762537220322</v>
      </c>
      <c r="AJ112">
        <v>0.42838534712791398</v>
      </c>
      <c r="AK112">
        <v>2.14179269969463E-2</v>
      </c>
      <c r="AL112" s="13"/>
      <c r="AM112" s="13">
        <v>0.50150421857833805</v>
      </c>
      <c r="AN112">
        <v>2.4693508430659199E-2</v>
      </c>
      <c r="AS112">
        <v>0.54902459116563795</v>
      </c>
      <c r="AU112" s="13"/>
    </row>
    <row r="113" spans="1:47" ht="16" x14ac:dyDescent="0.25">
      <c r="A113" s="9">
        <v>27</v>
      </c>
      <c r="B113">
        <v>0</v>
      </c>
      <c r="C113">
        <v>1</v>
      </c>
      <c r="D113">
        <v>0</v>
      </c>
      <c r="E113">
        <v>1</v>
      </c>
      <c r="F113">
        <v>1</v>
      </c>
      <c r="G113">
        <v>1</v>
      </c>
      <c r="H113">
        <v>1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1</v>
      </c>
      <c r="O113">
        <v>1</v>
      </c>
      <c r="P113">
        <v>1</v>
      </c>
      <c r="Q113">
        <v>0</v>
      </c>
      <c r="R113">
        <v>0</v>
      </c>
      <c r="S113">
        <v>1</v>
      </c>
      <c r="T113">
        <v>1</v>
      </c>
      <c r="U113">
        <v>1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0.47634224502734213</v>
      </c>
      <c r="AE113">
        <v>4.6185748684066828E-3</v>
      </c>
      <c r="AF113">
        <v>0.96959169937606016</v>
      </c>
      <c r="AH113">
        <f t="shared" si="1"/>
        <v>0.47634224502734213</v>
      </c>
      <c r="AJ113">
        <v>0.46853014826774497</v>
      </c>
      <c r="AK113">
        <v>5.7231788523495197E-3</v>
      </c>
      <c r="AL113" s="13"/>
      <c r="AM113" s="13">
        <v>0.55700131654739304</v>
      </c>
      <c r="AN113">
        <v>4.48280063972352E-2</v>
      </c>
      <c r="AS113">
        <v>0.62151097971275204</v>
      </c>
      <c r="AU113" s="13"/>
    </row>
    <row r="114" spans="1:47" ht="16" x14ac:dyDescent="0.25">
      <c r="A114" s="9">
        <v>28</v>
      </c>
      <c r="B114">
        <v>0</v>
      </c>
      <c r="C114">
        <v>1</v>
      </c>
      <c r="D114">
        <v>0</v>
      </c>
      <c r="E114">
        <v>1</v>
      </c>
      <c r="F114">
        <v>0</v>
      </c>
      <c r="G114">
        <v>1</v>
      </c>
      <c r="H114">
        <v>1</v>
      </c>
      <c r="I114">
        <v>1</v>
      </c>
      <c r="J114">
        <v>0</v>
      </c>
      <c r="K114">
        <v>0</v>
      </c>
      <c r="L114">
        <v>1</v>
      </c>
      <c r="M114">
        <v>1</v>
      </c>
      <c r="N114">
        <v>0</v>
      </c>
      <c r="O114">
        <v>0</v>
      </c>
      <c r="P114">
        <v>0</v>
      </c>
      <c r="Q114">
        <v>1</v>
      </c>
      <c r="R114">
        <v>1</v>
      </c>
      <c r="S114">
        <v>0</v>
      </c>
      <c r="T114">
        <v>1</v>
      </c>
      <c r="U114">
        <v>1</v>
      </c>
      <c r="V114">
        <v>1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0.54169092262751373</v>
      </c>
      <c r="AE114">
        <v>3.5391291986445257E-2</v>
      </c>
      <c r="AF114">
        <v>6.5334844111429922</v>
      </c>
      <c r="AH114">
        <f t="shared" si="1"/>
        <v>0.54169092262751373</v>
      </c>
      <c r="AJ114">
        <v>0.50081127882003695</v>
      </c>
      <c r="AK114">
        <v>2.5695160031318599E-2</v>
      </c>
      <c r="AL114" s="13"/>
      <c r="AM114" s="13">
        <v>0.469559752941131</v>
      </c>
      <c r="AN114">
        <v>2.7332698824006602E-2</v>
      </c>
      <c r="AS114">
        <v>0.61148240210732596</v>
      </c>
      <c r="AU114" s="13"/>
    </row>
    <row r="115" spans="1:47" ht="16" x14ac:dyDescent="0.25">
      <c r="A115" s="9">
        <v>29</v>
      </c>
      <c r="B115">
        <v>0</v>
      </c>
      <c r="C115">
        <v>1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1</v>
      </c>
      <c r="K115">
        <v>1</v>
      </c>
      <c r="L115">
        <v>1</v>
      </c>
      <c r="M115">
        <v>0</v>
      </c>
      <c r="N115">
        <v>1</v>
      </c>
      <c r="O115">
        <v>1</v>
      </c>
      <c r="P115">
        <v>1</v>
      </c>
      <c r="Q115">
        <v>0</v>
      </c>
      <c r="R115">
        <v>0</v>
      </c>
      <c r="S115">
        <v>1</v>
      </c>
      <c r="T115">
        <v>1</v>
      </c>
      <c r="U115">
        <v>1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0.56709068040631649</v>
      </c>
      <c r="AE115">
        <v>5.1552723590308257E-3</v>
      </c>
      <c r="AF115">
        <v>0.90907372262529673</v>
      </c>
      <c r="AH115">
        <f t="shared" si="1"/>
        <v>0.56709068040631649</v>
      </c>
      <c r="AJ115">
        <v>0.56160247325897195</v>
      </c>
      <c r="AK115">
        <v>1.9612839445471701E-2</v>
      </c>
      <c r="AL115" s="13"/>
      <c r="AM115" s="13">
        <v>0.60912771224975504</v>
      </c>
      <c r="AN115">
        <v>4.0507369905857502E-2</v>
      </c>
      <c r="AS115">
        <v>0.56135863386634</v>
      </c>
      <c r="AU115" s="13"/>
    </row>
    <row r="116" spans="1:47" ht="16" x14ac:dyDescent="0.25">
      <c r="A116" s="9">
        <v>30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0</v>
      </c>
      <c r="O116">
        <v>0</v>
      </c>
      <c r="P116">
        <v>0</v>
      </c>
      <c r="Q116">
        <v>1</v>
      </c>
      <c r="R116">
        <v>1</v>
      </c>
      <c r="S116">
        <v>0</v>
      </c>
      <c r="T116">
        <v>1</v>
      </c>
      <c r="U116">
        <v>1</v>
      </c>
      <c r="V116">
        <v>1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0.52796488938131625</v>
      </c>
      <c r="AE116">
        <v>3.8137878283688489E-2</v>
      </c>
      <c r="AF116">
        <v>7.2235633563397563</v>
      </c>
      <c r="AH116">
        <f t="shared" si="1"/>
        <v>0.52796488938131625</v>
      </c>
      <c r="AJ116">
        <v>0.52485954761505105</v>
      </c>
      <c r="AK116">
        <v>1.0648323222994799E-2</v>
      </c>
      <c r="AL116" s="13"/>
      <c r="AM116" s="13">
        <v>0.531288373470306</v>
      </c>
      <c r="AN116">
        <v>2.5540445980439901E-2</v>
      </c>
      <c r="AS116">
        <v>0.54444746989534498</v>
      </c>
      <c r="AU116" s="13"/>
    </row>
    <row r="117" spans="1:47" ht="16" x14ac:dyDescent="0.25">
      <c r="A117" s="9" t="s">
        <v>35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0.43041988497058781</v>
      </c>
      <c r="AE117">
        <v>2.6328187804412948E-3</v>
      </c>
      <c r="AF117">
        <v>0.61168614006325595</v>
      </c>
      <c r="AH117">
        <f t="shared" si="1"/>
        <v>0.43041988497058781</v>
      </c>
      <c r="AJ117">
        <v>0.43525123596191401</v>
      </c>
      <c r="AK117">
        <v>6.30595488473773E-3</v>
      </c>
      <c r="AL117" s="13"/>
      <c r="AM117" s="13">
        <v>0.441064375638961</v>
      </c>
      <c r="AN117">
        <v>3.5259543640281603E-2</v>
      </c>
      <c r="AS117">
        <v>0.29021005983648301</v>
      </c>
      <c r="AU117" s="13"/>
    </row>
    <row r="118" spans="1:47" ht="16" x14ac:dyDescent="0.25">
      <c r="A118" s="9" t="s">
        <v>36</v>
      </c>
      <c r="B118">
        <v>0</v>
      </c>
      <c r="C118">
        <v>1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0.46823952256539558</v>
      </c>
      <c r="AE118">
        <v>1.8800045979499851E-2</v>
      </c>
      <c r="AF118">
        <v>4.0150489383078902</v>
      </c>
      <c r="AH118">
        <f t="shared" si="1"/>
        <v>0.46823952256539558</v>
      </c>
      <c r="AJ118">
        <v>0.46626400947570801</v>
      </c>
      <c r="AK118">
        <v>9.3655409291386604E-3</v>
      </c>
      <c r="AL118" s="13"/>
      <c r="AM118" s="13">
        <v>0.48746244311332698</v>
      </c>
      <c r="AN118">
        <v>2.9532229024759798E-2</v>
      </c>
      <c r="AS118">
        <v>0.32705807970780398</v>
      </c>
      <c r="AU118" s="13"/>
    </row>
    <row r="119" spans="1:47" ht="16" x14ac:dyDescent="0.25">
      <c r="A119" s="9" t="s">
        <v>38</v>
      </c>
      <c r="B119">
        <v>0</v>
      </c>
      <c r="C119">
        <v>1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1</v>
      </c>
      <c r="J119">
        <v>1</v>
      </c>
      <c r="K119">
        <v>1</v>
      </c>
      <c r="L119">
        <v>0</v>
      </c>
      <c r="M119">
        <v>1</v>
      </c>
      <c r="N119">
        <v>0</v>
      </c>
      <c r="O119">
        <v>0</v>
      </c>
      <c r="P119">
        <v>1</v>
      </c>
      <c r="Q119">
        <v>1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0.47794791261416208</v>
      </c>
      <c r="AE119">
        <v>5.6408252427047709E-2</v>
      </c>
      <c r="AF119">
        <v>11.80217570540683</v>
      </c>
      <c r="AH119">
        <f t="shared" si="1"/>
        <v>0.47794791261416208</v>
      </c>
      <c r="AJ119">
        <v>0.47637322545051503</v>
      </c>
      <c r="AK119">
        <v>1.35210249572992E-2</v>
      </c>
      <c r="AL119" s="13"/>
      <c r="AM119" s="13">
        <v>0.52257579565048196</v>
      </c>
      <c r="AN119">
        <v>8.9960388337227398E-3</v>
      </c>
      <c r="AS119">
        <v>0.46952730039453699</v>
      </c>
      <c r="AU119" s="13"/>
    </row>
    <row r="120" spans="1:47" ht="16" x14ac:dyDescent="0.25">
      <c r="A120" s="9" t="s">
        <v>39</v>
      </c>
      <c r="B120">
        <v>0</v>
      </c>
      <c r="C120">
        <v>1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1</v>
      </c>
      <c r="J120">
        <v>1</v>
      </c>
      <c r="K120">
        <v>1</v>
      </c>
      <c r="L120">
        <v>0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0.49290239797995372</v>
      </c>
      <c r="AE120">
        <v>7.5193766450612504E-3</v>
      </c>
      <c r="AF120">
        <v>1.5255305463876161</v>
      </c>
      <c r="AH120">
        <f t="shared" si="1"/>
        <v>0.49290239797995372</v>
      </c>
      <c r="AJ120">
        <v>0.50023913383483798</v>
      </c>
      <c r="AK120">
        <v>1.5858782455325099E-2</v>
      </c>
      <c r="AL120" s="13"/>
      <c r="AM120" s="13">
        <v>0.51572294235229399</v>
      </c>
      <c r="AN120">
        <v>3.0993150975992399E-2</v>
      </c>
      <c r="AS120">
        <v>0.47758764555047001</v>
      </c>
      <c r="AU120" s="13"/>
    </row>
    <row r="121" spans="1:47" ht="16" x14ac:dyDescent="0.25">
      <c r="A121" s="9" t="s">
        <v>40</v>
      </c>
      <c r="B121">
        <v>0</v>
      </c>
      <c r="C121">
        <v>1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0</v>
      </c>
      <c r="S121">
        <v>1</v>
      </c>
      <c r="T121">
        <v>1</v>
      </c>
      <c r="U121">
        <v>1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0.69596990353526222</v>
      </c>
      <c r="AE121">
        <v>1.9891376971380541E-2</v>
      </c>
      <c r="AF121">
        <v>2.858080050637235</v>
      </c>
      <c r="AH121">
        <f t="shared" si="1"/>
        <v>0.69596990353526222</v>
      </c>
      <c r="AJ121">
        <v>0.65994554758071899</v>
      </c>
      <c r="AK121">
        <v>2.0807769149541799E-2</v>
      </c>
      <c r="AL121" s="13"/>
      <c r="AM121" s="13">
        <v>0.67058703899383498</v>
      </c>
      <c r="AN121">
        <v>2.38762002786649E-2</v>
      </c>
      <c r="AS121">
        <v>0.57296763275110396</v>
      </c>
      <c r="AU121" s="13"/>
    </row>
    <row r="122" spans="1:47" ht="16" x14ac:dyDescent="0.25">
      <c r="A122" s="9" t="s">
        <v>43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1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1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0.39488524227189042</v>
      </c>
      <c r="AE122">
        <v>3.478291588400436E-2</v>
      </c>
      <c r="AF122">
        <v>8.8083605464433319</v>
      </c>
      <c r="AH122">
        <f t="shared" si="1"/>
        <v>0.39488524227189042</v>
      </c>
      <c r="AJ122">
        <v>0.40627095103263799</v>
      </c>
      <c r="AK122">
        <v>1.85886258259415E-3</v>
      </c>
      <c r="AL122" s="13"/>
      <c r="AM122" s="13">
        <v>0.40573722720146099</v>
      </c>
      <c r="AN122">
        <v>2.5366828345975999E-2</v>
      </c>
      <c r="AS122">
        <v>0.35784925527689498</v>
      </c>
      <c r="AU122" s="13"/>
    </row>
    <row r="123" spans="1:47" ht="16" x14ac:dyDescent="0.25">
      <c r="A123" s="9" t="s">
        <v>44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1</v>
      </c>
      <c r="Q123">
        <v>1</v>
      </c>
      <c r="R123">
        <v>1</v>
      </c>
      <c r="S123">
        <v>0</v>
      </c>
      <c r="T123">
        <v>0</v>
      </c>
      <c r="U123">
        <v>0</v>
      </c>
      <c r="V123">
        <v>1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0.47787272865420638</v>
      </c>
      <c r="AE123">
        <v>5.7141767520572082E-2</v>
      </c>
      <c r="AF123">
        <v>11.95752845773303</v>
      </c>
      <c r="AH123">
        <f t="shared" si="1"/>
        <v>0.47787272865420638</v>
      </c>
      <c r="AJ123">
        <v>0.477410078048706</v>
      </c>
      <c r="AK123">
        <v>1.40892695635557E-2</v>
      </c>
      <c r="AL123" s="13"/>
      <c r="AM123" s="13">
        <v>0.43683707118034298</v>
      </c>
      <c r="AN123">
        <v>2.6380525454317801E-2</v>
      </c>
      <c r="AS123">
        <v>0.36547935650976598</v>
      </c>
      <c r="AU123" s="13"/>
    </row>
    <row r="124" spans="1:47" ht="16" x14ac:dyDescent="0.25">
      <c r="A124" s="9" t="s">
        <v>45</v>
      </c>
      <c r="B124">
        <v>0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0</v>
      </c>
      <c r="T124">
        <v>0</v>
      </c>
      <c r="U124">
        <v>0</v>
      </c>
      <c r="V124">
        <v>1</v>
      </c>
      <c r="W124">
        <v>1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0.42889313111913352</v>
      </c>
      <c r="AE124">
        <v>3.1540557466290318E-3</v>
      </c>
      <c r="AF124">
        <v>0.73539432501494895</v>
      </c>
      <c r="AH124">
        <f t="shared" si="1"/>
        <v>0.42889313111913352</v>
      </c>
      <c r="AJ124">
        <v>0.430082768201828</v>
      </c>
      <c r="AK124">
        <v>5.8822664432227603E-3</v>
      </c>
      <c r="AL124" s="13"/>
      <c r="AM124" s="13">
        <v>0.43904688954353299</v>
      </c>
      <c r="AN124">
        <v>2.3269351573315201E-2</v>
      </c>
      <c r="AS124">
        <v>0.37918618050055403</v>
      </c>
      <c r="AU124" s="13"/>
    </row>
    <row r="125" spans="1:47" ht="16" x14ac:dyDescent="0.25">
      <c r="A125" s="9" t="s">
        <v>47</v>
      </c>
      <c r="B125">
        <v>0</v>
      </c>
      <c r="C125">
        <v>1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1</v>
      </c>
      <c r="J125">
        <v>1</v>
      </c>
      <c r="K125">
        <v>1</v>
      </c>
      <c r="L125">
        <v>0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0</v>
      </c>
      <c r="U125">
        <v>0</v>
      </c>
      <c r="V125">
        <v>1</v>
      </c>
      <c r="W125">
        <v>1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0.52302924778985693</v>
      </c>
      <c r="AE125">
        <v>3.2886241146487961E-3</v>
      </c>
      <c r="AF125">
        <v>0.62876485943097804</v>
      </c>
      <c r="AH125">
        <f t="shared" si="1"/>
        <v>0.52302924778985693</v>
      </c>
      <c r="AJ125">
        <v>0.52982997894287098</v>
      </c>
      <c r="AK125">
        <v>2.03577540814876E-2</v>
      </c>
      <c r="AL125" s="13"/>
      <c r="AM125" s="13">
        <v>0.54289966821670499</v>
      </c>
      <c r="AN125">
        <v>1.1824515372326099E-2</v>
      </c>
      <c r="AS125">
        <v>0.519182143281954</v>
      </c>
      <c r="AU125" s="13"/>
    </row>
    <row r="126" spans="1:47" ht="16" x14ac:dyDescent="0.25">
      <c r="A126" s="9" t="s">
        <v>49</v>
      </c>
      <c r="B126">
        <v>0</v>
      </c>
      <c r="C126">
        <v>1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1</v>
      </c>
      <c r="J126">
        <v>1</v>
      </c>
      <c r="K126">
        <v>1</v>
      </c>
      <c r="L126">
        <v>0</v>
      </c>
      <c r="M126">
        <v>1</v>
      </c>
      <c r="N126">
        <v>0</v>
      </c>
      <c r="O126">
        <v>0</v>
      </c>
      <c r="P126">
        <v>1</v>
      </c>
      <c r="Q126">
        <v>1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0.57667143084760197</v>
      </c>
      <c r="AE126">
        <v>2.7955393491889912E-3</v>
      </c>
      <c r="AF126">
        <v>0.48477160470392261</v>
      </c>
      <c r="AH126">
        <f t="shared" si="1"/>
        <v>0.57667143084760197</v>
      </c>
      <c r="AJ126">
        <v>0.57126468420028598</v>
      </c>
      <c r="AK126">
        <v>7.0455698296427701E-3</v>
      </c>
      <c r="AL126" s="13"/>
      <c r="AM126" s="13">
        <v>0.59286745786666795</v>
      </c>
      <c r="AN126">
        <v>1.4438911952054699E-2</v>
      </c>
      <c r="AS126">
        <v>0.64561234393516598</v>
      </c>
      <c r="AU126" s="13"/>
    </row>
    <row r="127" spans="1:47" ht="16" x14ac:dyDescent="0.25">
      <c r="A127" s="9" t="s">
        <v>50</v>
      </c>
      <c r="B127">
        <v>0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0</v>
      </c>
      <c r="T127">
        <v>0</v>
      </c>
      <c r="U127">
        <v>0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0.42899180896383587</v>
      </c>
      <c r="AE127">
        <v>1.434613613419675E-2</v>
      </c>
      <c r="AF127">
        <v>3.344151527938878</v>
      </c>
      <c r="AH127">
        <f t="shared" si="1"/>
        <v>0.42899180896383587</v>
      </c>
      <c r="AJ127">
        <v>0.44892194867134</v>
      </c>
      <c r="AK127">
        <v>4.2017442174255796E-3</v>
      </c>
      <c r="AL127" s="13"/>
      <c r="AM127" s="13">
        <v>0.46496312022209102</v>
      </c>
      <c r="AN127">
        <v>3.4596825931621403E-2</v>
      </c>
      <c r="AS127">
        <v>0.53305339553952102</v>
      </c>
      <c r="AU127" s="13"/>
    </row>
    <row r="128" spans="1:47" ht="16" x14ac:dyDescent="0.25">
      <c r="A128" s="9" t="s">
        <v>51</v>
      </c>
      <c r="B128">
        <v>0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0.44601601213380843</v>
      </c>
      <c r="AE128">
        <v>4.7617102736222383E-3</v>
      </c>
      <c r="AF128">
        <v>1.067609714467759</v>
      </c>
      <c r="AH128">
        <f t="shared" si="1"/>
        <v>0.44601601213380843</v>
      </c>
      <c r="AJ128">
        <v>0.452151209115982</v>
      </c>
      <c r="AK128">
        <v>7.3247519321739604E-3</v>
      </c>
      <c r="AL128" s="13"/>
      <c r="AM128" s="13">
        <v>0.510599040985107</v>
      </c>
      <c r="AN128">
        <v>2.47763855296716E-2</v>
      </c>
      <c r="AS128">
        <v>0.481550648523557</v>
      </c>
      <c r="AU128" s="13"/>
    </row>
    <row r="129" spans="1:47" ht="16" x14ac:dyDescent="0.25">
      <c r="A129" s="9" t="s">
        <v>52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1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1</v>
      </c>
      <c r="W129">
        <v>1</v>
      </c>
      <c r="X129">
        <v>0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0.37553846609882519</v>
      </c>
      <c r="AE129">
        <v>1.00292724225162E-2</v>
      </c>
      <c r="AF129">
        <v>2.670637851483618</v>
      </c>
      <c r="AH129">
        <f t="shared" si="1"/>
        <v>0.37553846609882519</v>
      </c>
      <c r="AJ129">
        <v>0.37275075912475503</v>
      </c>
      <c r="AK129">
        <v>6.6712005063891402E-3</v>
      </c>
      <c r="AL129" s="13"/>
      <c r="AM129" s="13">
        <v>0.41200263500213602</v>
      </c>
      <c r="AN129">
        <v>3.00694903924821E-2</v>
      </c>
      <c r="AS129">
        <v>0.517276472544279</v>
      </c>
      <c r="AU129" s="13"/>
    </row>
    <row r="130" spans="1:47" ht="16" x14ac:dyDescent="0.25">
      <c r="A130" s="9" t="s">
        <v>54</v>
      </c>
      <c r="B130">
        <v>0</v>
      </c>
      <c r="C130">
        <v>1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1</v>
      </c>
      <c r="M130">
        <v>0</v>
      </c>
      <c r="N130">
        <v>1</v>
      </c>
      <c r="O130">
        <v>1</v>
      </c>
      <c r="P130">
        <v>0</v>
      </c>
      <c r="Q130">
        <v>1</v>
      </c>
      <c r="R130">
        <v>0</v>
      </c>
      <c r="S130">
        <v>1</v>
      </c>
      <c r="T130">
        <v>1</v>
      </c>
      <c r="U130">
        <v>1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0.59985820636935139</v>
      </c>
      <c r="AE130">
        <v>1.0959715520701369E-2</v>
      </c>
      <c r="AF130">
        <v>1.82705102711442</v>
      </c>
      <c r="AH130">
        <f t="shared" ref="AH130:AH193" si="2">AD130</f>
        <v>0.59985820636935139</v>
      </c>
      <c r="AJ130">
        <v>0.59943956136703402</v>
      </c>
      <c r="AK130">
        <v>7.8929075971245696E-3</v>
      </c>
      <c r="AL130" s="13"/>
      <c r="AM130" s="13">
        <v>0.78021174669265703</v>
      </c>
      <c r="AN130">
        <v>2.8042033362077501E-2</v>
      </c>
      <c r="AS130">
        <v>0.458686545511093</v>
      </c>
      <c r="AU130" s="13"/>
    </row>
    <row r="131" spans="1:47" ht="16" x14ac:dyDescent="0.25">
      <c r="A131" s="9" t="s">
        <v>55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0</v>
      </c>
      <c r="O131">
        <v>0</v>
      </c>
      <c r="P131">
        <v>1</v>
      </c>
      <c r="Q131">
        <v>1</v>
      </c>
      <c r="R131">
        <v>1</v>
      </c>
      <c r="S131">
        <v>0</v>
      </c>
      <c r="T131">
        <v>1</v>
      </c>
      <c r="U131">
        <v>1</v>
      </c>
      <c r="V131">
        <v>1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0.53848705119736462</v>
      </c>
      <c r="AE131">
        <v>5.201109430586915E-2</v>
      </c>
      <c r="AF131">
        <v>9.6587455891871024</v>
      </c>
      <c r="AH131">
        <f t="shared" si="2"/>
        <v>0.53848705119736462</v>
      </c>
      <c r="AJ131">
        <v>0.51320356130599898</v>
      </c>
      <c r="AK131">
        <v>1.27990683540701E-2</v>
      </c>
      <c r="AL131" s="13"/>
      <c r="AM131" s="13">
        <v>0.55638397932052597</v>
      </c>
      <c r="AN131">
        <v>2.5166108680055199E-2</v>
      </c>
      <c r="AS131">
        <v>0.549550686067522</v>
      </c>
      <c r="AU131" s="13"/>
    </row>
    <row r="132" spans="1:47" ht="16" x14ac:dyDescent="0.25">
      <c r="A132" s="9" t="s">
        <v>56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0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0.63273350202314915</v>
      </c>
      <c r="AE132">
        <v>1.596238906689508E-2</v>
      </c>
      <c r="AF132">
        <v>2.522766538496183</v>
      </c>
      <c r="AH132">
        <f t="shared" si="2"/>
        <v>0.63273350202314915</v>
      </c>
      <c r="AJ132">
        <v>0.63359552621841397</v>
      </c>
      <c r="AK132">
        <v>2.1544598042964901E-2</v>
      </c>
      <c r="AL132" s="13"/>
      <c r="AM132" s="13">
        <v>0.67462701797485303</v>
      </c>
      <c r="AN132">
        <v>3.0971309874261201E-2</v>
      </c>
      <c r="AS132">
        <v>0.55270857067261603</v>
      </c>
      <c r="AU132" s="13"/>
    </row>
    <row r="133" spans="1:47" ht="16" x14ac:dyDescent="0.25">
      <c r="A133" s="9" t="s">
        <v>57</v>
      </c>
      <c r="B133">
        <v>0</v>
      </c>
      <c r="C133">
        <v>1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0.75080428815478173</v>
      </c>
      <c r="AE133">
        <v>5.4052229013784444E-3</v>
      </c>
      <c r="AF133">
        <v>0.71992435134629029</v>
      </c>
      <c r="AH133">
        <f t="shared" si="2"/>
        <v>0.75080428815478173</v>
      </c>
      <c r="AJ133">
        <v>0.70538300275802601</v>
      </c>
      <c r="AK133">
        <v>2.42276899516582E-2</v>
      </c>
      <c r="AL133" s="13"/>
      <c r="AM133" s="13">
        <v>0.71007580757141098</v>
      </c>
      <c r="AN133">
        <v>2.5091724359847901E-2</v>
      </c>
      <c r="AS133">
        <v>0.58201181872868502</v>
      </c>
      <c r="AU133" s="13"/>
    </row>
    <row r="134" spans="1:47" ht="16" x14ac:dyDescent="0.25">
      <c r="A134" s="9" t="s">
        <v>59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0</v>
      </c>
      <c r="O134">
        <v>0</v>
      </c>
      <c r="P134">
        <v>1</v>
      </c>
      <c r="Q134">
        <v>1</v>
      </c>
      <c r="R134">
        <v>1</v>
      </c>
      <c r="S134">
        <v>0</v>
      </c>
      <c r="T134">
        <v>1</v>
      </c>
      <c r="U134">
        <v>1</v>
      </c>
      <c r="V134">
        <v>1</v>
      </c>
      <c r="W134">
        <v>1</v>
      </c>
      <c r="X134">
        <v>0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0.64428759110124734</v>
      </c>
      <c r="AE134">
        <v>2.9600093819201059E-2</v>
      </c>
      <c r="AF134">
        <v>4.5942362119076599</v>
      </c>
      <c r="AH134">
        <f t="shared" si="2"/>
        <v>0.64428759110124734</v>
      </c>
      <c r="AJ134">
        <v>0.63288325071334794</v>
      </c>
      <c r="AK134">
        <v>1.7772853374481201E-2</v>
      </c>
      <c r="AL134" s="13"/>
      <c r="AM134" s="13">
        <v>0.57070811986923198</v>
      </c>
      <c r="AN134">
        <v>4.3998934574583301E-2</v>
      </c>
      <c r="AS134">
        <v>0.67765417033448005</v>
      </c>
      <c r="AU134" s="13"/>
    </row>
    <row r="135" spans="1:47" ht="16" x14ac:dyDescent="0.25">
      <c r="A135" s="9" t="s">
        <v>62</v>
      </c>
      <c r="B135">
        <v>0</v>
      </c>
      <c r="C135">
        <v>1</v>
      </c>
      <c r="D135">
        <v>0</v>
      </c>
      <c r="E135">
        <v>1</v>
      </c>
      <c r="F135">
        <v>0</v>
      </c>
      <c r="G135">
        <v>1</v>
      </c>
      <c r="H135">
        <v>1</v>
      </c>
      <c r="I135">
        <v>0</v>
      </c>
      <c r="J135">
        <v>1</v>
      </c>
      <c r="K135">
        <v>1</v>
      </c>
      <c r="L135">
        <v>1</v>
      </c>
      <c r="M135">
        <v>1</v>
      </c>
      <c r="N135">
        <v>0</v>
      </c>
      <c r="O135">
        <v>0</v>
      </c>
      <c r="P135">
        <v>1</v>
      </c>
      <c r="Q135">
        <v>0</v>
      </c>
      <c r="R135">
        <v>1</v>
      </c>
      <c r="S135">
        <v>0</v>
      </c>
      <c r="T135">
        <v>1</v>
      </c>
      <c r="U135">
        <v>1</v>
      </c>
      <c r="V135">
        <v>1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0.58678303441002366</v>
      </c>
      <c r="AE135">
        <v>3.0703944482479682E-2</v>
      </c>
      <c r="AF135">
        <v>5.2325889949000874</v>
      </c>
      <c r="AH135">
        <f t="shared" si="2"/>
        <v>0.58678303441002366</v>
      </c>
      <c r="AJ135">
        <v>0.539184510707855</v>
      </c>
      <c r="AK135">
        <v>1.5345871448516801E-2</v>
      </c>
      <c r="AL135" s="13"/>
      <c r="AM135" s="13">
        <v>0.46179656386375401</v>
      </c>
      <c r="AN135">
        <v>2.3679554382477201E-2</v>
      </c>
      <c r="AS135">
        <v>0.64657730066772501</v>
      </c>
      <c r="AU135" s="13"/>
    </row>
    <row r="136" spans="1:47" ht="16" x14ac:dyDescent="0.25">
      <c r="A136" s="9" t="s">
        <v>63</v>
      </c>
      <c r="B136">
        <v>0</v>
      </c>
      <c r="C136">
        <v>1</v>
      </c>
      <c r="D136">
        <v>0</v>
      </c>
      <c r="E136">
        <v>1</v>
      </c>
      <c r="F136">
        <v>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0</v>
      </c>
      <c r="O136">
        <v>0</v>
      </c>
      <c r="P136">
        <v>1</v>
      </c>
      <c r="Q136">
        <v>1</v>
      </c>
      <c r="R136">
        <v>1</v>
      </c>
      <c r="S136">
        <v>0</v>
      </c>
      <c r="T136">
        <v>1</v>
      </c>
      <c r="U136">
        <v>1</v>
      </c>
      <c r="V136">
        <v>1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0.50431290507504811</v>
      </c>
      <c r="AE136">
        <v>4.2843730899831567E-2</v>
      </c>
      <c r="AF136">
        <v>8.4954659039422911</v>
      </c>
      <c r="AH136">
        <f t="shared" si="2"/>
        <v>0.50431290507504811</v>
      </c>
      <c r="AJ136">
        <v>0.49492201209068298</v>
      </c>
      <c r="AK136">
        <v>1.6899844631552599E-2</v>
      </c>
      <c r="AL136" s="13"/>
      <c r="AM136" s="13">
        <v>0.54766777753829898</v>
      </c>
      <c r="AN136">
        <v>5.9006096550759599E-2</v>
      </c>
      <c r="AS136">
        <v>0.65086142326906704</v>
      </c>
      <c r="AU136" s="13"/>
    </row>
    <row r="137" spans="1:47" ht="16" x14ac:dyDescent="0.25">
      <c r="A137" s="9" t="s">
        <v>64</v>
      </c>
      <c r="B137">
        <v>0</v>
      </c>
      <c r="C137">
        <v>1</v>
      </c>
      <c r="D137">
        <v>0</v>
      </c>
      <c r="E137">
        <v>1</v>
      </c>
      <c r="F137">
        <v>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0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0.70395331046938281</v>
      </c>
      <c r="AE137">
        <v>2.195615167210585E-2</v>
      </c>
      <c r="AF137">
        <v>3.118978396090772</v>
      </c>
      <c r="AH137">
        <f t="shared" si="2"/>
        <v>0.70395331046938281</v>
      </c>
      <c r="AJ137">
        <v>0.67040014266967696</v>
      </c>
      <c r="AK137">
        <v>2.8091860935091899E-2</v>
      </c>
      <c r="AL137" s="13"/>
      <c r="AM137" s="13">
        <v>0.67182540893554599</v>
      </c>
      <c r="AN137">
        <v>1.9830950359178999E-2</v>
      </c>
      <c r="AS137">
        <v>0.65302311943408797</v>
      </c>
      <c r="AU137" s="13"/>
    </row>
    <row r="138" spans="1:47" ht="16" x14ac:dyDescent="0.25">
      <c r="A138" s="9" t="s">
        <v>66</v>
      </c>
      <c r="B138">
        <v>0</v>
      </c>
      <c r="C138">
        <v>1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1</v>
      </c>
      <c r="K138">
        <v>1</v>
      </c>
      <c r="L138">
        <v>1</v>
      </c>
      <c r="M138">
        <v>0</v>
      </c>
      <c r="N138">
        <v>1</v>
      </c>
      <c r="O138">
        <v>1</v>
      </c>
      <c r="P138">
        <v>0</v>
      </c>
      <c r="Q138">
        <v>0</v>
      </c>
      <c r="R138">
        <v>0</v>
      </c>
      <c r="S138">
        <v>1</v>
      </c>
      <c r="T138">
        <v>1</v>
      </c>
      <c r="U138">
        <v>1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0.63260583408146709</v>
      </c>
      <c r="AE138">
        <v>1.2068605580688729E-2</v>
      </c>
      <c r="AF138">
        <v>1.9077607145707309</v>
      </c>
      <c r="AH138">
        <f t="shared" si="2"/>
        <v>0.63260583408146709</v>
      </c>
      <c r="AJ138">
        <v>0.61514240503311102</v>
      </c>
      <c r="AK138">
        <v>2.20793616026639E-2</v>
      </c>
      <c r="AL138" s="13"/>
      <c r="AM138" s="13">
        <v>0.62166117429733203</v>
      </c>
      <c r="AN138">
        <v>1.6376726284544799E-2</v>
      </c>
      <c r="AS138">
        <v>0.55621130569551602</v>
      </c>
      <c r="AU138" s="13"/>
    </row>
    <row r="139" spans="1:47" ht="16" x14ac:dyDescent="0.25">
      <c r="A139" s="9" t="s">
        <v>67</v>
      </c>
      <c r="B139">
        <v>0</v>
      </c>
      <c r="C139">
        <v>1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1</v>
      </c>
      <c r="K139">
        <v>1</v>
      </c>
      <c r="L139">
        <v>1</v>
      </c>
      <c r="M139">
        <v>0</v>
      </c>
      <c r="N139">
        <v>1</v>
      </c>
      <c r="O139">
        <v>1</v>
      </c>
      <c r="P139">
        <v>0</v>
      </c>
      <c r="Q139">
        <v>0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0.71244685290575671</v>
      </c>
      <c r="AE139">
        <v>6.8565330153830539E-2</v>
      </c>
      <c r="AF139">
        <v>9.6239221036885461</v>
      </c>
      <c r="AH139">
        <f t="shared" si="2"/>
        <v>0.71244685290575671</v>
      </c>
      <c r="AJ139">
        <v>0.69969010353088301</v>
      </c>
      <c r="AK139">
        <v>1.6912821680307302E-2</v>
      </c>
      <c r="AL139" s="13"/>
      <c r="AM139" s="13">
        <v>0.69243910312652501</v>
      </c>
      <c r="AN139">
        <v>4.5758366457145698E-2</v>
      </c>
      <c r="AS139">
        <v>0.56473030329779805</v>
      </c>
      <c r="AU139" s="13"/>
    </row>
    <row r="140" spans="1:47" ht="16" x14ac:dyDescent="0.25">
      <c r="A140" s="9" t="s">
        <v>68</v>
      </c>
      <c r="B140">
        <v>0</v>
      </c>
      <c r="C140">
        <v>1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0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0.61516241216400336</v>
      </c>
      <c r="AE140">
        <v>1.9711639632541501E-2</v>
      </c>
      <c r="AF140">
        <v>3.2042984491201891</v>
      </c>
      <c r="AH140">
        <f t="shared" si="2"/>
        <v>0.61516241216400336</v>
      </c>
      <c r="AJ140">
        <v>0.61512720584869296</v>
      </c>
      <c r="AK140">
        <v>1.8025280907750098E-2</v>
      </c>
      <c r="AL140" s="13"/>
      <c r="AM140" s="13">
        <v>0.660659575462341</v>
      </c>
      <c r="AN140">
        <v>2.2219488444308998E-2</v>
      </c>
      <c r="AS140">
        <v>0.57495614702872799</v>
      </c>
      <c r="AU140" s="13"/>
    </row>
    <row r="141" spans="1:47" ht="16" x14ac:dyDescent="0.25">
      <c r="A141" s="9" t="s">
        <v>69</v>
      </c>
      <c r="B141">
        <v>0</v>
      </c>
      <c r="C141">
        <v>1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1</v>
      </c>
      <c r="K141">
        <v>1</v>
      </c>
      <c r="L141">
        <v>1</v>
      </c>
      <c r="M141">
        <v>0</v>
      </c>
      <c r="N141">
        <v>1</v>
      </c>
      <c r="O141">
        <v>1</v>
      </c>
      <c r="P141">
        <v>0</v>
      </c>
      <c r="Q141">
        <v>0</v>
      </c>
      <c r="R141">
        <v>0</v>
      </c>
      <c r="S141">
        <v>1</v>
      </c>
      <c r="T141">
        <v>1</v>
      </c>
      <c r="U141">
        <v>1</v>
      </c>
      <c r="V141">
        <v>0</v>
      </c>
      <c r="W141">
        <v>0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0.62418955267529463</v>
      </c>
      <c r="AE141">
        <v>1.5042595441486161E-2</v>
      </c>
      <c r="AF141">
        <v>2.409940278079497</v>
      </c>
      <c r="AH141">
        <f t="shared" si="2"/>
        <v>0.62418955267529463</v>
      </c>
      <c r="AJ141">
        <v>0.61657685041427601</v>
      </c>
      <c r="AK141">
        <v>9.9744647741317697E-3</v>
      </c>
      <c r="AL141" s="13"/>
      <c r="AM141" s="13">
        <v>0.64010337591171196</v>
      </c>
      <c r="AN141">
        <v>2.69803020042962E-2</v>
      </c>
      <c r="AS141">
        <v>0.681723381698634</v>
      </c>
      <c r="AU141" s="13"/>
    </row>
    <row r="142" spans="1:47" ht="16" x14ac:dyDescent="0.25">
      <c r="A142" s="9" t="s">
        <v>70</v>
      </c>
      <c r="B142">
        <v>0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0</v>
      </c>
      <c r="O142">
        <v>0</v>
      </c>
      <c r="P142">
        <v>1</v>
      </c>
      <c r="Q142">
        <v>1</v>
      </c>
      <c r="R142">
        <v>0</v>
      </c>
      <c r="S142">
        <v>0</v>
      </c>
      <c r="T142">
        <v>1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0.45608775540731228</v>
      </c>
      <c r="AE142">
        <v>2.280717791957405E-2</v>
      </c>
      <c r="AF142">
        <v>5.0006117570961637</v>
      </c>
      <c r="AH142">
        <f t="shared" si="2"/>
        <v>0.45608775540731228</v>
      </c>
      <c r="AJ142">
        <v>0.45463624596595698</v>
      </c>
      <c r="AK142">
        <v>1.9168877974152499E-2</v>
      </c>
      <c r="AL142" s="13"/>
      <c r="AM142" s="13">
        <v>0.4622163772583</v>
      </c>
      <c r="AN142">
        <v>4.17790438561359E-2</v>
      </c>
      <c r="AS142">
        <v>0.54120511941784599</v>
      </c>
      <c r="AU142" s="13"/>
    </row>
    <row r="143" spans="1:47" ht="16" x14ac:dyDescent="0.25">
      <c r="A143" s="9" t="s">
        <v>71</v>
      </c>
      <c r="B143">
        <v>0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1</v>
      </c>
      <c r="K143">
        <v>1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1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0.50523394851192993</v>
      </c>
      <c r="AE143">
        <v>6.3001400870721355E-2</v>
      </c>
      <c r="AF143">
        <v>12.46974813475617</v>
      </c>
      <c r="AH143">
        <f t="shared" si="2"/>
        <v>0.50523394851192993</v>
      </c>
      <c r="AJ143">
        <v>0.49226066470146101</v>
      </c>
      <c r="AK143">
        <v>1.2354062870144801E-2</v>
      </c>
      <c r="AL143" s="13"/>
      <c r="AM143" s="13">
        <v>0.45499551296234098</v>
      </c>
      <c r="AN143">
        <v>2.1601328586996101E-2</v>
      </c>
      <c r="AS143">
        <v>0.53182660858942599</v>
      </c>
      <c r="AU143" s="13"/>
    </row>
    <row r="144" spans="1:47" ht="16" x14ac:dyDescent="0.25">
      <c r="A144" s="9" t="s">
        <v>72</v>
      </c>
      <c r="B144">
        <v>0</v>
      </c>
      <c r="C144">
        <v>1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1</v>
      </c>
      <c r="K144">
        <v>1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1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0.52156112741798444</v>
      </c>
      <c r="AE144">
        <v>1.784092842334572E-3</v>
      </c>
      <c r="AF144">
        <v>0.34206783223412701</v>
      </c>
      <c r="AH144">
        <f t="shared" si="2"/>
        <v>0.52156112741798444</v>
      </c>
      <c r="AJ144">
        <v>0.512090623378753</v>
      </c>
      <c r="AK144">
        <v>1.5494897961616501E-2</v>
      </c>
      <c r="AL144" s="13"/>
      <c r="AM144" s="13">
        <v>0.48681341409683199</v>
      </c>
      <c r="AN144">
        <v>5.80456057103789E-3</v>
      </c>
      <c r="AS144">
        <v>0.55311978102271897</v>
      </c>
      <c r="AU144" s="13"/>
    </row>
    <row r="145" spans="1:47" ht="16" x14ac:dyDescent="0.25">
      <c r="A145" s="9" t="s">
        <v>73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1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0.45858395315965289</v>
      </c>
      <c r="AE145">
        <v>2.341325267664297E-2</v>
      </c>
      <c r="AF145">
        <v>5.1055542862599479</v>
      </c>
      <c r="AH145">
        <f t="shared" si="2"/>
        <v>0.45858395315965289</v>
      </c>
      <c r="AJ145">
        <v>0.47259190678596402</v>
      </c>
      <c r="AK145">
        <v>1.10781025141477E-2</v>
      </c>
      <c r="AL145" s="13"/>
      <c r="AM145" s="13">
        <v>0.471116787195205</v>
      </c>
      <c r="AN145">
        <v>2.4102130133085299E-2</v>
      </c>
      <c r="AS145">
        <v>0.52572729426565101</v>
      </c>
      <c r="AU145" s="13"/>
    </row>
    <row r="146" spans="1:47" ht="16" x14ac:dyDescent="0.25">
      <c r="A146" s="9" t="s">
        <v>74</v>
      </c>
      <c r="B146">
        <v>0</v>
      </c>
      <c r="C146">
        <v>1</v>
      </c>
      <c r="D146">
        <v>0</v>
      </c>
      <c r="E146">
        <v>1</v>
      </c>
      <c r="F146">
        <v>0</v>
      </c>
      <c r="G146">
        <v>1</v>
      </c>
      <c r="H146">
        <v>1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0.49386515953610299</v>
      </c>
      <c r="AE146">
        <v>3.6606054444857259E-3</v>
      </c>
      <c r="AF146">
        <v>0.74121556740795458</v>
      </c>
      <c r="AH146">
        <f t="shared" si="2"/>
        <v>0.49386515953610299</v>
      </c>
      <c r="AJ146">
        <v>0.47937199473380998</v>
      </c>
      <c r="AK146">
        <v>8.8244332000613195E-3</v>
      </c>
      <c r="AL146" s="13"/>
      <c r="AM146" s="13">
        <v>0.40826944112777702</v>
      </c>
      <c r="AN146">
        <v>3.2278060185013203E-2</v>
      </c>
      <c r="AS146">
        <v>0.58757108103754396</v>
      </c>
      <c r="AU146" s="13"/>
    </row>
    <row r="147" spans="1:47" ht="16" x14ac:dyDescent="0.25">
      <c r="A147" s="9" t="s">
        <v>75</v>
      </c>
      <c r="B147">
        <v>0</v>
      </c>
      <c r="C147">
        <v>1</v>
      </c>
      <c r="D147">
        <v>0</v>
      </c>
      <c r="E147">
        <v>1</v>
      </c>
      <c r="F147">
        <v>0</v>
      </c>
      <c r="G147">
        <v>1</v>
      </c>
      <c r="H147">
        <v>1</v>
      </c>
      <c r="I147">
        <v>0</v>
      </c>
      <c r="J147">
        <v>1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0.45286894161986169</v>
      </c>
      <c r="AE147">
        <v>6.9406696631654288E-3</v>
      </c>
      <c r="AF147">
        <v>1.532600058272803</v>
      </c>
      <c r="AH147">
        <f t="shared" si="2"/>
        <v>0.45286894161986169</v>
      </c>
      <c r="AJ147">
        <v>0.42850482463836598</v>
      </c>
      <c r="AK147">
        <v>1.25161558389663E-2</v>
      </c>
      <c r="AL147" s="13"/>
      <c r="AM147" s="13">
        <v>0.34621593952178897</v>
      </c>
      <c r="AN147">
        <v>1.48041438768848E-2</v>
      </c>
      <c r="AS147">
        <v>0.51572478723314696</v>
      </c>
      <c r="AU147" s="13"/>
    </row>
    <row r="148" spans="1:47" ht="16" x14ac:dyDescent="0.25">
      <c r="A148" s="9" t="s">
        <v>76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1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1</v>
      </c>
      <c r="V148">
        <v>0</v>
      </c>
      <c r="W148">
        <v>0</v>
      </c>
      <c r="X148">
        <v>0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0.55974094223797299</v>
      </c>
      <c r="AE148">
        <v>2.0826000064980432E-2</v>
      </c>
      <c r="AF148">
        <v>3.7206497673215209</v>
      </c>
      <c r="AH148">
        <f t="shared" si="2"/>
        <v>0.55974094223797299</v>
      </c>
      <c r="AJ148">
        <v>0.53146380186080899</v>
      </c>
      <c r="AK148">
        <v>1.00324191153049E-2</v>
      </c>
      <c r="AL148" s="13"/>
      <c r="AM148" s="13">
        <v>0.45072877407073902</v>
      </c>
      <c r="AN148">
        <v>2.9699931193928102E-2</v>
      </c>
      <c r="AS148">
        <v>0.64684238088576695</v>
      </c>
      <c r="AU148" s="13"/>
    </row>
    <row r="149" spans="1:47" ht="16" x14ac:dyDescent="0.25">
      <c r="A149" s="9" t="s">
        <v>77</v>
      </c>
      <c r="B149">
        <v>0</v>
      </c>
      <c r="C149">
        <v>1</v>
      </c>
      <c r="D149">
        <v>0</v>
      </c>
      <c r="E149">
        <v>1</v>
      </c>
      <c r="F149">
        <v>0</v>
      </c>
      <c r="G149">
        <v>1</v>
      </c>
      <c r="H149">
        <v>1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1</v>
      </c>
      <c r="V149">
        <v>0</v>
      </c>
      <c r="W149">
        <v>0</v>
      </c>
      <c r="X149">
        <v>0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0.47451338209236887</v>
      </c>
      <c r="AE149">
        <v>4.7540289840916371E-2</v>
      </c>
      <c r="AF149">
        <v>10.01874586366506</v>
      </c>
      <c r="AH149">
        <f t="shared" si="2"/>
        <v>0.47451338209236887</v>
      </c>
      <c r="AJ149">
        <v>0.46066507697105402</v>
      </c>
      <c r="AK149">
        <v>5.5607398971915202E-3</v>
      </c>
      <c r="AL149" s="13"/>
      <c r="AM149" s="13">
        <v>0.432098966836929</v>
      </c>
      <c r="AN149">
        <v>2.8427005134010801E-2</v>
      </c>
      <c r="AS149">
        <v>0.72648248521616998</v>
      </c>
      <c r="AU149" s="13"/>
    </row>
    <row r="150" spans="1:47" ht="16" x14ac:dyDescent="0.25">
      <c r="A150" s="9" t="s">
        <v>78</v>
      </c>
      <c r="B150">
        <v>0</v>
      </c>
      <c r="C150">
        <v>1</v>
      </c>
      <c r="D150">
        <v>0</v>
      </c>
      <c r="E150">
        <v>1</v>
      </c>
      <c r="F150">
        <v>0</v>
      </c>
      <c r="G150">
        <v>1</v>
      </c>
      <c r="H150">
        <v>1</v>
      </c>
      <c r="I150">
        <v>0</v>
      </c>
      <c r="J150">
        <v>1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0.41648088222923768</v>
      </c>
      <c r="AE150">
        <v>1.9356047120482351E-2</v>
      </c>
      <c r="AF150">
        <v>4.6475235590354123</v>
      </c>
      <c r="AH150">
        <f t="shared" si="2"/>
        <v>0.41648088222923768</v>
      </c>
      <c r="AJ150">
        <v>0.40430036187171903</v>
      </c>
      <c r="AK150">
        <v>1.42404828220605E-2</v>
      </c>
      <c r="AL150" s="13"/>
      <c r="AM150" s="13">
        <v>0.38048727512359598</v>
      </c>
      <c r="AN150">
        <v>2.2817376048645002E-2</v>
      </c>
      <c r="AS150">
        <v>0.69604907557578499</v>
      </c>
      <c r="AU150" s="13"/>
    </row>
    <row r="151" spans="1:47" ht="16" x14ac:dyDescent="0.25">
      <c r="A151" s="9" t="s">
        <v>79</v>
      </c>
      <c r="B151">
        <v>0</v>
      </c>
      <c r="C151">
        <v>1</v>
      </c>
      <c r="D151">
        <v>0</v>
      </c>
      <c r="E151">
        <v>1</v>
      </c>
      <c r="F151">
        <v>0</v>
      </c>
      <c r="G151">
        <v>1</v>
      </c>
      <c r="H151">
        <v>1</v>
      </c>
      <c r="I151">
        <v>0</v>
      </c>
      <c r="J151">
        <v>0</v>
      </c>
      <c r="K151">
        <v>0</v>
      </c>
      <c r="L151">
        <v>1</v>
      </c>
      <c r="M151">
        <v>1</v>
      </c>
      <c r="N151">
        <v>0</v>
      </c>
      <c r="O151">
        <v>0</v>
      </c>
      <c r="P151">
        <v>1</v>
      </c>
      <c r="Q151">
        <v>0</v>
      </c>
      <c r="R151">
        <v>1</v>
      </c>
      <c r="S151">
        <v>0</v>
      </c>
      <c r="T151">
        <v>1</v>
      </c>
      <c r="U151">
        <v>1</v>
      </c>
      <c r="V151">
        <v>1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0.49444661565086462</v>
      </c>
      <c r="AE151">
        <v>5.4006589267368198E-2</v>
      </c>
      <c r="AF151">
        <v>10.922633011913049</v>
      </c>
      <c r="AH151">
        <f t="shared" si="2"/>
        <v>0.49444661565086462</v>
      </c>
      <c r="AJ151">
        <v>0.492398291826248</v>
      </c>
      <c r="AK151">
        <v>5.4934043437242499E-3</v>
      </c>
      <c r="AL151" s="13"/>
      <c r="AM151" s="13">
        <v>0.49634382128715498</v>
      </c>
      <c r="AN151">
        <v>2.3984456847504401E-2</v>
      </c>
      <c r="AS151">
        <v>0.60975547787119699</v>
      </c>
      <c r="AU151" s="13"/>
    </row>
    <row r="152" spans="1:47" ht="16" x14ac:dyDescent="0.25">
      <c r="A152" s="9" t="s">
        <v>80</v>
      </c>
      <c r="B152">
        <v>0</v>
      </c>
      <c r="C152">
        <v>1</v>
      </c>
      <c r="D152">
        <v>0</v>
      </c>
      <c r="E152">
        <v>1</v>
      </c>
      <c r="F152">
        <v>0</v>
      </c>
      <c r="G152">
        <v>1</v>
      </c>
      <c r="H152">
        <v>1</v>
      </c>
      <c r="I152">
        <v>1</v>
      </c>
      <c r="J152">
        <v>0</v>
      </c>
      <c r="K152">
        <v>0</v>
      </c>
      <c r="L152">
        <v>1</v>
      </c>
      <c r="M152">
        <v>1</v>
      </c>
      <c r="N152">
        <v>0</v>
      </c>
      <c r="O152">
        <v>0</v>
      </c>
      <c r="P152">
        <v>1</v>
      </c>
      <c r="Q152">
        <v>1</v>
      </c>
      <c r="R152">
        <v>1</v>
      </c>
      <c r="S152">
        <v>0</v>
      </c>
      <c r="T152">
        <v>1</v>
      </c>
      <c r="U152">
        <v>1</v>
      </c>
      <c r="V152">
        <v>1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0.42128492299181097</v>
      </c>
      <c r="AE152">
        <v>1.027008251534612E-2</v>
      </c>
      <c r="AF152">
        <v>2.4377996825549229</v>
      </c>
      <c r="AH152">
        <f t="shared" si="2"/>
        <v>0.42128492299181097</v>
      </c>
      <c r="AJ152">
        <v>0.457874655723571</v>
      </c>
      <c r="AK152">
        <v>1.5719240531325299E-2</v>
      </c>
      <c r="AL152" s="13"/>
      <c r="AM152" s="13">
        <v>0.59348394870758003</v>
      </c>
      <c r="AN152">
        <v>4.5934039496008501E-2</v>
      </c>
      <c r="AS152">
        <v>0.61351721525567604</v>
      </c>
      <c r="AU152" s="13"/>
    </row>
    <row r="153" spans="1:47" ht="16" x14ac:dyDescent="0.25">
      <c r="A153" s="9" t="s">
        <v>81</v>
      </c>
      <c r="B153">
        <v>0</v>
      </c>
      <c r="C153">
        <v>1</v>
      </c>
      <c r="D153">
        <v>0</v>
      </c>
      <c r="E153">
        <v>1</v>
      </c>
      <c r="F153">
        <v>1</v>
      </c>
      <c r="G153">
        <v>1</v>
      </c>
      <c r="H153">
        <v>1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1</v>
      </c>
      <c r="O153">
        <v>1</v>
      </c>
      <c r="P153">
        <v>0</v>
      </c>
      <c r="Q153">
        <v>0</v>
      </c>
      <c r="R153">
        <v>0</v>
      </c>
      <c r="S153">
        <v>1</v>
      </c>
      <c r="T153">
        <v>1</v>
      </c>
      <c r="U153">
        <v>1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0.73352299591924186</v>
      </c>
      <c r="AE153">
        <v>3.0725218456701429E-2</v>
      </c>
      <c r="AF153">
        <v>4.1887191850334524</v>
      </c>
      <c r="AH153">
        <f t="shared" si="2"/>
        <v>0.73352299591924186</v>
      </c>
      <c r="AJ153">
        <v>0.65832734107971103</v>
      </c>
      <c r="AK153">
        <v>2.7875760570168402E-2</v>
      </c>
      <c r="AL153" s="13"/>
      <c r="AM153" s="13">
        <v>0.51069050431251495</v>
      </c>
      <c r="AN153">
        <v>3.6350025769493199E-2</v>
      </c>
      <c r="AS153">
        <v>0.61859289471081802</v>
      </c>
      <c r="AU153" s="13"/>
    </row>
    <row r="154" spans="1:47" ht="16" x14ac:dyDescent="0.25">
      <c r="A154" s="9" t="s">
        <v>82</v>
      </c>
      <c r="B154">
        <v>0</v>
      </c>
      <c r="C154">
        <v>1</v>
      </c>
      <c r="D154">
        <v>0</v>
      </c>
      <c r="E154">
        <v>1</v>
      </c>
      <c r="F154">
        <v>0</v>
      </c>
      <c r="G154">
        <v>1</v>
      </c>
      <c r="H154">
        <v>1</v>
      </c>
      <c r="I154">
        <v>0</v>
      </c>
      <c r="J154">
        <v>1</v>
      </c>
      <c r="K154">
        <v>1</v>
      </c>
      <c r="L154">
        <v>0</v>
      </c>
      <c r="M154">
        <v>1</v>
      </c>
      <c r="N154">
        <v>0</v>
      </c>
      <c r="O154">
        <v>0</v>
      </c>
      <c r="P154">
        <v>1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1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0.43274234568308723</v>
      </c>
      <c r="AE154">
        <v>2.5577205187964681E-2</v>
      </c>
      <c r="AF154">
        <v>5.9104928008815181</v>
      </c>
      <c r="AH154">
        <f t="shared" si="2"/>
        <v>0.43274234568308723</v>
      </c>
      <c r="AJ154">
        <v>0.43938276171684199</v>
      </c>
      <c r="AK154">
        <v>4.9939490854740099E-3</v>
      </c>
      <c r="AL154" s="13"/>
      <c r="AM154" s="13">
        <v>0.45639522671699501</v>
      </c>
      <c r="AN154">
        <v>4.2986695861064399E-2</v>
      </c>
      <c r="AS154">
        <v>0.54605614884696396</v>
      </c>
      <c r="AU154" s="13"/>
    </row>
    <row r="155" spans="1:47" ht="16" x14ac:dyDescent="0.25">
      <c r="A155" s="9" t="s">
        <v>83</v>
      </c>
      <c r="B155">
        <v>0</v>
      </c>
      <c r="C155">
        <v>1</v>
      </c>
      <c r="D155">
        <v>0</v>
      </c>
      <c r="E155">
        <v>1</v>
      </c>
      <c r="F155">
        <v>0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0</v>
      </c>
      <c r="M155">
        <v>1</v>
      </c>
      <c r="N155">
        <v>0</v>
      </c>
      <c r="O155">
        <v>0</v>
      </c>
      <c r="P155">
        <v>1</v>
      </c>
      <c r="Q155">
        <v>1</v>
      </c>
      <c r="R155">
        <v>1</v>
      </c>
      <c r="S155">
        <v>0</v>
      </c>
      <c r="T155">
        <v>0</v>
      </c>
      <c r="U155">
        <v>0</v>
      </c>
      <c r="V155">
        <v>1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0.52041210263887039</v>
      </c>
      <c r="AE155">
        <v>9.4266062615136134E-3</v>
      </c>
      <c r="AF155">
        <v>1.811373373853878</v>
      </c>
      <c r="AH155">
        <f t="shared" si="2"/>
        <v>0.52041210263887039</v>
      </c>
      <c r="AJ155">
        <v>0.49851274490356401</v>
      </c>
      <c r="AK155">
        <v>9.9518988281488401E-3</v>
      </c>
      <c r="AL155" s="13"/>
      <c r="AM155" s="13">
        <v>0.51171287894248896</v>
      </c>
      <c r="AN155">
        <v>2.67538404686351E-2</v>
      </c>
      <c r="AS155">
        <v>0.55141311360689005</v>
      </c>
      <c r="AU155" s="13"/>
    </row>
    <row r="156" spans="1:47" ht="16" x14ac:dyDescent="0.25">
      <c r="A156" s="9" t="s">
        <v>84</v>
      </c>
      <c r="B156">
        <v>0</v>
      </c>
      <c r="C156">
        <v>1</v>
      </c>
      <c r="D156">
        <v>0</v>
      </c>
      <c r="E156">
        <v>1</v>
      </c>
      <c r="F156">
        <v>1</v>
      </c>
      <c r="G156">
        <v>1</v>
      </c>
      <c r="H156">
        <v>1</v>
      </c>
      <c r="I156">
        <v>0</v>
      </c>
      <c r="J156">
        <v>1</v>
      </c>
      <c r="K156">
        <v>1</v>
      </c>
      <c r="L156">
        <v>0</v>
      </c>
      <c r="M156">
        <v>0</v>
      </c>
      <c r="N156">
        <v>1</v>
      </c>
      <c r="O156">
        <v>1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0.41579192278361621</v>
      </c>
      <c r="AE156">
        <v>1.0900394773784121E-2</v>
      </c>
      <c r="AF156">
        <v>2.621598491093545</v>
      </c>
      <c r="AH156">
        <f t="shared" si="2"/>
        <v>0.41579192278361621</v>
      </c>
      <c r="AJ156">
        <v>0.41932058334350503</v>
      </c>
      <c r="AK156">
        <v>9.4409044831991196E-3</v>
      </c>
      <c r="AL156" s="13"/>
      <c r="AM156" s="13">
        <v>0.49330438971519402</v>
      </c>
      <c r="AN156">
        <v>5.2093087297532502E-2</v>
      </c>
      <c r="AS156">
        <v>0.54462777572841403</v>
      </c>
      <c r="AU156" s="13"/>
    </row>
    <row r="157" spans="1:47" ht="16" x14ac:dyDescent="0.25">
      <c r="A157" s="9">
        <v>1</v>
      </c>
      <c r="B157">
        <v>0</v>
      </c>
      <c r="C157">
        <v>0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0.28623510114465262</v>
      </c>
      <c r="AE157">
        <v>1.983623309944647E-2</v>
      </c>
      <c r="AF157">
        <v>6.9300491170095766</v>
      </c>
      <c r="AH157">
        <f t="shared" si="2"/>
        <v>0.28623510114465262</v>
      </c>
      <c r="AJ157">
        <v>0.31573247909545898</v>
      </c>
      <c r="AK157">
        <v>7.6796915382146801E-3</v>
      </c>
      <c r="AL157" s="13"/>
      <c r="AM157" s="13">
        <v>0.31765053868293702</v>
      </c>
      <c r="AN157">
        <v>1.21959898244064E-2</v>
      </c>
      <c r="AS157">
        <v>0.17308114804688701</v>
      </c>
      <c r="AU157" s="13"/>
    </row>
    <row r="158" spans="1:47" ht="16" x14ac:dyDescent="0.25">
      <c r="A158" s="9">
        <v>2</v>
      </c>
      <c r="B158">
        <v>0</v>
      </c>
      <c r="C158">
        <v>0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0.71845778722101694</v>
      </c>
      <c r="AE158">
        <v>3.1474640979271183E-2</v>
      </c>
      <c r="AF158">
        <v>4.3808615536084012</v>
      </c>
      <c r="AH158">
        <f t="shared" si="2"/>
        <v>0.71845778722101694</v>
      </c>
      <c r="AJ158">
        <v>0.71777254343032804</v>
      </c>
      <c r="AK158">
        <v>2.8910603374242699E-2</v>
      </c>
      <c r="AL158" s="13"/>
      <c r="AM158" s="13">
        <v>0.71858669519424401</v>
      </c>
      <c r="AN158">
        <v>2.7346226680415201E-2</v>
      </c>
      <c r="AS158">
        <v>0.65746764626014897</v>
      </c>
      <c r="AU158" s="13"/>
    </row>
    <row r="159" spans="1:47" ht="16" x14ac:dyDescent="0.25">
      <c r="A159" s="9">
        <v>3</v>
      </c>
      <c r="B159">
        <v>0</v>
      </c>
      <c r="C159">
        <v>0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0.3182625590165406</v>
      </c>
      <c r="AE159">
        <v>1.3868866505368701E-2</v>
      </c>
      <c r="AF159">
        <v>4.3576808243560663</v>
      </c>
      <c r="AH159">
        <f t="shared" si="2"/>
        <v>0.3182625590165406</v>
      </c>
      <c r="AJ159">
        <v>0.327607721090316</v>
      </c>
      <c r="AK159">
        <v>6.4996005967259398E-3</v>
      </c>
      <c r="AL159" s="13"/>
      <c r="AM159" s="13">
        <v>0.31915434002876197</v>
      </c>
      <c r="AN159">
        <v>2.6016260811059198E-2</v>
      </c>
      <c r="AS159">
        <v>0.174434397614431</v>
      </c>
      <c r="AU159" s="13"/>
    </row>
    <row r="160" spans="1:47" ht="16" x14ac:dyDescent="0.25">
      <c r="A160" s="9">
        <v>4</v>
      </c>
      <c r="B160">
        <v>0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0.28667841177805509</v>
      </c>
      <c r="AE160">
        <v>1.179357393996594E-2</v>
      </c>
      <c r="AF160">
        <v>4.1138688702853781</v>
      </c>
      <c r="AH160">
        <f t="shared" si="2"/>
        <v>0.28667841177805509</v>
      </c>
      <c r="AJ160">
        <v>0.29396137595176602</v>
      </c>
      <c r="AK160">
        <v>7.9142628237605095E-3</v>
      </c>
      <c r="AL160" s="13"/>
      <c r="AM160" s="13">
        <v>0.28182905316352802</v>
      </c>
      <c r="AN160">
        <v>2.92435415023326E-2</v>
      </c>
      <c r="AS160">
        <v>0.176209364202533</v>
      </c>
      <c r="AU160" s="13"/>
    </row>
    <row r="161" spans="1:47" ht="16" x14ac:dyDescent="0.25">
      <c r="A161" s="9">
        <v>5</v>
      </c>
      <c r="B161">
        <v>0</v>
      </c>
      <c r="C161">
        <v>0</v>
      </c>
      <c r="D161">
        <v>1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0.33209263258878541</v>
      </c>
      <c r="AE161">
        <v>1.71285786245855E-3</v>
      </c>
      <c r="AF161">
        <v>0.51577713395993963</v>
      </c>
      <c r="AH161">
        <f t="shared" si="2"/>
        <v>0.33209263258878541</v>
      </c>
      <c r="AJ161">
        <v>0.33763226866722101</v>
      </c>
      <c r="AK161">
        <v>7.75194447487592E-3</v>
      </c>
      <c r="AL161" s="13"/>
      <c r="AM161" s="13">
        <v>0.29948763847351001</v>
      </c>
      <c r="AN161">
        <v>1.4805717546129801E-2</v>
      </c>
      <c r="AS161">
        <v>0.19033041576340301</v>
      </c>
      <c r="AU161" s="13"/>
    </row>
    <row r="162" spans="1:47" ht="16" x14ac:dyDescent="0.25">
      <c r="A162" s="9">
        <v>7</v>
      </c>
      <c r="B162">
        <v>0</v>
      </c>
      <c r="C162">
        <v>0</v>
      </c>
      <c r="D162">
        <v>1</v>
      </c>
      <c r="E162">
        <v>0</v>
      </c>
      <c r="F162">
        <v>1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0.35756349943901322</v>
      </c>
      <c r="AE162">
        <v>2.174052856136708E-2</v>
      </c>
      <c r="AF162">
        <v>6.0801867627641304</v>
      </c>
      <c r="AH162">
        <f t="shared" si="2"/>
        <v>0.35756349943901322</v>
      </c>
      <c r="AJ162">
        <v>0.36540687084197998</v>
      </c>
      <c r="AK162">
        <v>1.91383541096001E-3</v>
      </c>
      <c r="AL162" s="13"/>
      <c r="AM162" s="13">
        <v>0.37139916419982899</v>
      </c>
      <c r="AN162">
        <v>1.34076898961694E-2</v>
      </c>
      <c r="AS162">
        <v>0.202735752680199</v>
      </c>
      <c r="AU162" s="13"/>
    </row>
    <row r="163" spans="1:47" ht="16" x14ac:dyDescent="0.25">
      <c r="A163" s="9">
        <v>8</v>
      </c>
      <c r="B163">
        <v>0</v>
      </c>
      <c r="C163">
        <v>0</v>
      </c>
      <c r="D163">
        <v>1</v>
      </c>
      <c r="E163">
        <v>0</v>
      </c>
      <c r="F163">
        <v>1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0</v>
      </c>
      <c r="U163">
        <v>0</v>
      </c>
      <c r="V163">
        <v>1</v>
      </c>
      <c r="W163">
        <v>1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0.35896258014389981</v>
      </c>
      <c r="AE163">
        <v>2.6975937400583992E-2</v>
      </c>
      <c r="AF163">
        <v>7.5149720034244138</v>
      </c>
      <c r="AH163">
        <f t="shared" si="2"/>
        <v>0.35896258014389981</v>
      </c>
      <c r="AJ163">
        <v>0.37176898121833801</v>
      </c>
      <c r="AK163">
        <v>1.12574081867933E-2</v>
      </c>
      <c r="AL163" s="13"/>
      <c r="AM163" s="13">
        <v>0.34778709411621</v>
      </c>
      <c r="AN163">
        <v>4.40058817640923E-2</v>
      </c>
      <c r="AS163">
        <v>0.27439443552741399</v>
      </c>
      <c r="AU163" s="13"/>
    </row>
    <row r="164" spans="1:47" ht="16" x14ac:dyDescent="0.25">
      <c r="A164" s="9">
        <v>9</v>
      </c>
      <c r="B164">
        <v>0</v>
      </c>
      <c r="C164">
        <v>0</v>
      </c>
      <c r="D164">
        <v>1</v>
      </c>
      <c r="E164">
        <v>0</v>
      </c>
      <c r="F164">
        <v>1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0.61304801318772928</v>
      </c>
      <c r="AE164">
        <v>1.818278693797035E-2</v>
      </c>
      <c r="AF164">
        <v>2.965964581374863</v>
      </c>
      <c r="AH164">
        <f t="shared" si="2"/>
        <v>0.61304801318772928</v>
      </c>
      <c r="AJ164">
        <v>0.58460402488708496</v>
      </c>
      <c r="AK164">
        <v>1.6997151076793601E-2</v>
      </c>
      <c r="AL164" s="13"/>
      <c r="AM164" s="13">
        <v>0.61665409803390503</v>
      </c>
      <c r="AN164">
        <v>3.3027150071178103E-2</v>
      </c>
      <c r="AS164">
        <v>0.36046925015534098</v>
      </c>
      <c r="AU164" s="13"/>
    </row>
    <row r="165" spans="1:47" ht="16" x14ac:dyDescent="0.25">
      <c r="A165" s="9">
        <v>11</v>
      </c>
      <c r="B165">
        <v>0</v>
      </c>
      <c r="C165">
        <v>0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0</v>
      </c>
      <c r="AB165">
        <v>0</v>
      </c>
      <c r="AC165">
        <v>0</v>
      </c>
      <c r="AD165">
        <v>0.55931980404332848</v>
      </c>
      <c r="AE165">
        <v>2.900922766400655E-2</v>
      </c>
      <c r="AF165">
        <v>5.1865189564715122</v>
      </c>
      <c r="AH165">
        <f t="shared" si="2"/>
        <v>0.55931980404332848</v>
      </c>
      <c r="AJ165">
        <v>0.58056461811065596</v>
      </c>
      <c r="AK165">
        <v>2.2065822035074199E-2</v>
      </c>
      <c r="AL165" s="13"/>
      <c r="AM165" s="13">
        <v>0.60847563743591304</v>
      </c>
      <c r="AN165">
        <v>2.88433577733621E-2</v>
      </c>
      <c r="AS165">
        <v>0.494481921319118</v>
      </c>
      <c r="AU165" s="13"/>
    </row>
    <row r="166" spans="1:47" ht="16" x14ac:dyDescent="0.25">
      <c r="A166" s="9">
        <v>12</v>
      </c>
      <c r="B166">
        <v>0</v>
      </c>
      <c r="C166">
        <v>0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0</v>
      </c>
      <c r="Z166">
        <v>0</v>
      </c>
      <c r="AA166">
        <v>1</v>
      </c>
      <c r="AB166">
        <v>1</v>
      </c>
      <c r="AC166">
        <v>1</v>
      </c>
      <c r="AD166">
        <v>0.81113217303733587</v>
      </c>
      <c r="AE166">
        <v>5.9655336236663907E-2</v>
      </c>
      <c r="AF166">
        <v>7.3545765067215507</v>
      </c>
      <c r="AH166">
        <f t="shared" si="2"/>
        <v>0.81113217303733587</v>
      </c>
      <c r="AJ166">
        <v>0.76342612504959095</v>
      </c>
      <c r="AK166">
        <v>2.5067776441574E-2</v>
      </c>
      <c r="AL166" s="13"/>
      <c r="AM166" s="13">
        <v>0.74414881467819205</v>
      </c>
      <c r="AN166">
        <v>1.56707882010374E-2</v>
      </c>
      <c r="AS166">
        <v>0.63298610568687796</v>
      </c>
      <c r="AU166" s="13"/>
    </row>
    <row r="167" spans="1:47" ht="16" x14ac:dyDescent="0.25">
      <c r="A167" s="9">
        <v>13</v>
      </c>
      <c r="B167">
        <v>0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1</v>
      </c>
      <c r="AA167">
        <v>0</v>
      </c>
      <c r="AB167">
        <v>0</v>
      </c>
      <c r="AC167">
        <v>0</v>
      </c>
      <c r="AD167">
        <v>0.2669533307775741</v>
      </c>
      <c r="AE167">
        <v>3.9033567499420621E-2</v>
      </c>
      <c r="AF167">
        <v>14.621869442769171</v>
      </c>
      <c r="AH167">
        <f t="shared" si="2"/>
        <v>0.2669533307775741</v>
      </c>
      <c r="AJ167">
        <v>0.26270005106925898</v>
      </c>
      <c r="AK167">
        <v>7.09874555468559E-3</v>
      </c>
      <c r="AL167" s="13"/>
      <c r="AM167" s="13">
        <v>0.23106665313243799</v>
      </c>
      <c r="AN167">
        <v>3.5636191614041697E-2</v>
      </c>
      <c r="AS167">
        <v>0.183493865311598</v>
      </c>
      <c r="AU167" s="13"/>
    </row>
    <row r="168" spans="1:47" ht="16" x14ac:dyDescent="0.25">
      <c r="A168" s="9">
        <v>14</v>
      </c>
      <c r="B168">
        <v>0</v>
      </c>
      <c r="C168">
        <v>0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</v>
      </c>
      <c r="AB168">
        <v>1</v>
      </c>
      <c r="AC168">
        <v>1</v>
      </c>
      <c r="AD168">
        <v>0.30462350202400651</v>
      </c>
      <c r="AE168">
        <v>1.8752373116772272E-2</v>
      </c>
      <c r="AF168">
        <v>6.1559180405241518</v>
      </c>
      <c r="AH168">
        <f t="shared" si="2"/>
        <v>0.30462350202400651</v>
      </c>
      <c r="AJ168">
        <v>0.30831953883170998</v>
      </c>
      <c r="AK168">
        <v>5.3910370916128098E-3</v>
      </c>
      <c r="AL168" s="13"/>
      <c r="AM168" s="13">
        <v>0.34943229556083599</v>
      </c>
      <c r="AN168">
        <v>1.3647524714865401E-2</v>
      </c>
      <c r="AS168">
        <v>0.32868653138091303</v>
      </c>
      <c r="AU168" s="13"/>
    </row>
    <row r="169" spans="1:47" ht="16" x14ac:dyDescent="0.25">
      <c r="A169" s="9">
        <v>18</v>
      </c>
      <c r="B169">
        <v>0</v>
      </c>
      <c r="C169">
        <v>0</v>
      </c>
      <c r="D169">
        <v>1</v>
      </c>
      <c r="E169">
        <v>1</v>
      </c>
      <c r="F169">
        <v>0</v>
      </c>
      <c r="G169">
        <v>1</v>
      </c>
      <c r="H169">
        <v>1</v>
      </c>
      <c r="I169">
        <v>0</v>
      </c>
      <c r="J169">
        <v>1</v>
      </c>
      <c r="K169">
        <v>1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1</v>
      </c>
      <c r="U169">
        <v>1</v>
      </c>
      <c r="V169">
        <v>1</v>
      </c>
      <c r="W169">
        <v>1</v>
      </c>
      <c r="X169">
        <v>0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0.41735142396681052</v>
      </c>
      <c r="AE169">
        <v>3.5291035476340358E-3</v>
      </c>
      <c r="AF169">
        <v>0.84559518548921608</v>
      </c>
      <c r="AH169">
        <f t="shared" si="2"/>
        <v>0.41735142396681052</v>
      </c>
      <c r="AJ169">
        <v>0.39904427528381298</v>
      </c>
      <c r="AK169">
        <v>1.8962755799293501E-2</v>
      </c>
      <c r="AL169" s="13"/>
      <c r="AM169" s="13">
        <v>0.38692898750305099</v>
      </c>
      <c r="AN169">
        <v>5.04898160810709E-2</v>
      </c>
      <c r="AS169">
        <v>0.61458123176699397</v>
      </c>
      <c r="AU169" s="13"/>
    </row>
    <row r="170" spans="1:47" ht="16" x14ac:dyDescent="0.25">
      <c r="A170" s="9">
        <v>19</v>
      </c>
      <c r="B170">
        <v>0</v>
      </c>
      <c r="C170">
        <v>0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0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0.48625530067683181</v>
      </c>
      <c r="AE170">
        <v>1.5687190190832478E-2</v>
      </c>
      <c r="AF170">
        <v>3.2261221973307141</v>
      </c>
      <c r="AH170">
        <f t="shared" si="2"/>
        <v>0.48625530067683181</v>
      </c>
      <c r="AJ170">
        <v>0.48505553603172302</v>
      </c>
      <c r="AK170">
        <v>9.7328051924705505E-3</v>
      </c>
      <c r="AL170" s="13"/>
      <c r="AM170" s="13">
        <v>0.48764026761054902</v>
      </c>
      <c r="AN170">
        <v>3.7810610330175097E-2</v>
      </c>
      <c r="AS170">
        <v>0.64616787294345002</v>
      </c>
      <c r="AU170" s="13"/>
    </row>
    <row r="171" spans="1:47" ht="16" x14ac:dyDescent="0.25">
      <c r="A171" s="9">
        <v>12</v>
      </c>
      <c r="B171">
        <v>0</v>
      </c>
      <c r="C171">
        <v>0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0</v>
      </c>
      <c r="J171">
        <v>1</v>
      </c>
      <c r="K171">
        <v>1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1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0.44458277238685501</v>
      </c>
      <c r="AE171">
        <v>2.6721786500665749E-2</v>
      </c>
      <c r="AF171">
        <v>6.0105312577010306</v>
      </c>
      <c r="AH171">
        <f t="shared" si="2"/>
        <v>0.44458277238685501</v>
      </c>
      <c r="AJ171">
        <v>0.43755653500556901</v>
      </c>
      <c r="AK171">
        <v>9.7238644957542402E-3</v>
      </c>
      <c r="AL171" s="13"/>
      <c r="AM171" s="13">
        <v>0.42370041608810399</v>
      </c>
      <c r="AN171">
        <v>2.92675231713624E-2</v>
      </c>
      <c r="AS171">
        <v>0.45613061071491001</v>
      </c>
      <c r="AU171" s="13"/>
    </row>
    <row r="172" spans="1:47" ht="16" x14ac:dyDescent="0.25">
      <c r="A172" s="9">
        <v>13</v>
      </c>
      <c r="B172">
        <v>0</v>
      </c>
      <c r="C172">
        <v>0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0</v>
      </c>
      <c r="J172">
        <v>1</v>
      </c>
      <c r="K172">
        <v>1</v>
      </c>
      <c r="L172">
        <v>1</v>
      </c>
      <c r="M172">
        <v>0</v>
      </c>
      <c r="N172">
        <v>1</v>
      </c>
      <c r="O172">
        <v>1</v>
      </c>
      <c r="P172">
        <v>0</v>
      </c>
      <c r="Q172">
        <v>0</v>
      </c>
      <c r="R172">
        <v>0</v>
      </c>
      <c r="S172">
        <v>1</v>
      </c>
      <c r="T172">
        <v>1</v>
      </c>
      <c r="U172">
        <v>1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0.5847029182148149</v>
      </c>
      <c r="AE172">
        <v>6.9204995629040172E-2</v>
      </c>
      <c r="AF172">
        <v>11.835924445243631</v>
      </c>
      <c r="AH172">
        <f t="shared" si="2"/>
        <v>0.5847029182148149</v>
      </c>
      <c r="AJ172">
        <v>0.55991828441619795</v>
      </c>
      <c r="AK172">
        <v>1.21511071920394E-2</v>
      </c>
      <c r="AL172" s="13"/>
      <c r="AM172" s="13">
        <v>0.57664526700973495</v>
      </c>
      <c r="AN172">
        <v>1.8753680330961399E-2</v>
      </c>
      <c r="AS172">
        <v>0.45989076665336198</v>
      </c>
      <c r="AU172" s="13"/>
    </row>
    <row r="173" spans="1:47" ht="16" x14ac:dyDescent="0.25">
      <c r="A173" s="9">
        <v>14</v>
      </c>
      <c r="B173">
        <v>0</v>
      </c>
      <c r="C173">
        <v>0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0</v>
      </c>
      <c r="J173">
        <v>1</v>
      </c>
      <c r="K173">
        <v>1</v>
      </c>
      <c r="L173">
        <v>1</v>
      </c>
      <c r="M173">
        <v>0</v>
      </c>
      <c r="N173">
        <v>1</v>
      </c>
      <c r="O173">
        <v>1</v>
      </c>
      <c r="P173">
        <v>1</v>
      </c>
      <c r="Q173">
        <v>0</v>
      </c>
      <c r="R173">
        <v>0</v>
      </c>
      <c r="S173">
        <v>1</v>
      </c>
      <c r="T173">
        <v>1</v>
      </c>
      <c r="U173">
        <v>1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0.5214642864421315</v>
      </c>
      <c r="AE173">
        <v>2.280240188453261E-2</v>
      </c>
      <c r="AF173">
        <v>4.3727638646377489</v>
      </c>
      <c r="AH173">
        <f t="shared" si="2"/>
        <v>0.5214642864421315</v>
      </c>
      <c r="AJ173">
        <v>0.54152411222457797</v>
      </c>
      <c r="AK173">
        <v>1.6200393438339199E-2</v>
      </c>
      <c r="AL173" s="13"/>
      <c r="AM173" s="13">
        <v>0.55559318065643304</v>
      </c>
      <c r="AN173">
        <v>2.8025672190806102E-2</v>
      </c>
      <c r="AS173">
        <v>0.46238265825907399</v>
      </c>
      <c r="AU173" s="13"/>
    </row>
    <row r="174" spans="1:47" ht="16" x14ac:dyDescent="0.25">
      <c r="A174" s="9">
        <v>15</v>
      </c>
      <c r="B174">
        <v>0</v>
      </c>
      <c r="C174">
        <v>0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0</v>
      </c>
      <c r="N174">
        <v>1</v>
      </c>
      <c r="O174">
        <v>1</v>
      </c>
      <c r="P174">
        <v>1</v>
      </c>
      <c r="Q174">
        <v>1</v>
      </c>
      <c r="R174">
        <v>0</v>
      </c>
      <c r="S174">
        <v>1</v>
      </c>
      <c r="T174">
        <v>1</v>
      </c>
      <c r="U174">
        <v>1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0.6403201313967436</v>
      </c>
      <c r="AE174">
        <v>2.0508951219114849E-2</v>
      </c>
      <c r="AF174">
        <v>3.2029215096483461</v>
      </c>
      <c r="AH174">
        <f t="shared" si="2"/>
        <v>0.6403201313967436</v>
      </c>
      <c r="AJ174">
        <v>0.62999266386032104</v>
      </c>
      <c r="AK174">
        <v>1.9133720546960799E-2</v>
      </c>
      <c r="AL174" s="13"/>
      <c r="AM174" s="13">
        <v>0.61603398323059</v>
      </c>
      <c r="AN174">
        <v>2.5119267966686801E-2</v>
      </c>
      <c r="AS174">
        <v>0.46654010917316002</v>
      </c>
      <c r="AU174" s="13"/>
    </row>
    <row r="175" spans="1:47" ht="16" x14ac:dyDescent="0.25">
      <c r="A175" s="9">
        <v>18</v>
      </c>
      <c r="B175">
        <v>0</v>
      </c>
      <c r="C175">
        <v>0</v>
      </c>
      <c r="D175">
        <v>1</v>
      </c>
      <c r="E175">
        <v>0</v>
      </c>
      <c r="F175">
        <v>1</v>
      </c>
      <c r="G175">
        <v>0</v>
      </c>
      <c r="H175">
        <v>0</v>
      </c>
      <c r="I175">
        <v>1</v>
      </c>
      <c r="J175">
        <v>1</v>
      </c>
      <c r="K175">
        <v>1</v>
      </c>
      <c r="L175">
        <v>0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0</v>
      </c>
      <c r="U175">
        <v>0</v>
      </c>
      <c r="V175">
        <v>1</v>
      </c>
      <c r="W175">
        <v>1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0.45161486470560402</v>
      </c>
      <c r="AE175">
        <v>1.1784762864275629E-2</v>
      </c>
      <c r="AF175">
        <v>2.6094718720026648</v>
      </c>
      <c r="AH175">
        <f t="shared" si="2"/>
        <v>0.45161486470560402</v>
      </c>
      <c r="AJ175">
        <v>0.45656278729438698</v>
      </c>
      <c r="AK175">
        <v>1.46695151925086E-2</v>
      </c>
      <c r="AL175" s="13"/>
      <c r="AM175" s="13">
        <v>0.42129219770431497</v>
      </c>
      <c r="AN175">
        <v>3.6840226834116099E-2</v>
      </c>
      <c r="AS175">
        <v>0.32748575142543102</v>
      </c>
      <c r="AU175" s="13"/>
    </row>
    <row r="176" spans="1:47" ht="16" x14ac:dyDescent="0.25">
      <c r="A176" s="9">
        <v>21</v>
      </c>
      <c r="B176">
        <v>0</v>
      </c>
      <c r="C176">
        <v>0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0</v>
      </c>
      <c r="K176">
        <v>0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0.52338010167428928</v>
      </c>
      <c r="AE176">
        <v>6.4933533378179739E-2</v>
      </c>
      <c r="AF176">
        <v>12.40657280826264</v>
      </c>
      <c r="AH176">
        <f t="shared" si="2"/>
        <v>0.52338010167428928</v>
      </c>
      <c r="AJ176">
        <v>0.55582880973815896</v>
      </c>
      <c r="AK176">
        <v>2.2892773151397702E-2</v>
      </c>
      <c r="AL176" s="13"/>
      <c r="AM176" s="13">
        <v>0.63458354473113998</v>
      </c>
      <c r="AN176">
        <v>2.1233091546511099E-2</v>
      </c>
      <c r="AS176">
        <v>0.46114322093448601</v>
      </c>
      <c r="AU176" s="13"/>
    </row>
    <row r="177" spans="1:47" ht="16" x14ac:dyDescent="0.25">
      <c r="A177" s="9">
        <v>23</v>
      </c>
      <c r="B177">
        <v>0</v>
      </c>
      <c r="C177">
        <v>0</v>
      </c>
      <c r="D177">
        <v>1</v>
      </c>
      <c r="E177">
        <v>1</v>
      </c>
      <c r="F177">
        <v>0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0</v>
      </c>
      <c r="O177">
        <v>0</v>
      </c>
      <c r="P177">
        <v>0</v>
      </c>
      <c r="Q177">
        <v>1</v>
      </c>
      <c r="R177">
        <v>1</v>
      </c>
      <c r="S177">
        <v>0</v>
      </c>
      <c r="T177">
        <v>1</v>
      </c>
      <c r="U177">
        <v>1</v>
      </c>
      <c r="V177">
        <v>1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0.41315513305651169</v>
      </c>
      <c r="AE177">
        <v>5.0650981064293638E-2</v>
      </c>
      <c r="AF177">
        <v>12.259555070653221</v>
      </c>
      <c r="AH177">
        <f t="shared" si="2"/>
        <v>0.41315513305651169</v>
      </c>
      <c r="AJ177">
        <v>0.42467525601387002</v>
      </c>
      <c r="AK177">
        <v>2.5725010782480202E-2</v>
      </c>
      <c r="AL177" s="13"/>
      <c r="AM177" s="13">
        <v>0.47315198183059598</v>
      </c>
      <c r="AN177">
        <v>2.4963857415345E-2</v>
      </c>
      <c r="AS177">
        <v>0.46438949828674297</v>
      </c>
      <c r="AU177" s="13"/>
    </row>
    <row r="178" spans="1:47" ht="16" x14ac:dyDescent="0.25">
      <c r="A178" s="9">
        <v>25</v>
      </c>
      <c r="B178">
        <v>0</v>
      </c>
      <c r="C178">
        <v>0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0</v>
      </c>
      <c r="J178">
        <v>1</v>
      </c>
      <c r="K178">
        <v>1</v>
      </c>
      <c r="L178">
        <v>0</v>
      </c>
      <c r="M178">
        <v>0</v>
      </c>
      <c r="N178">
        <v>1</v>
      </c>
      <c r="O178">
        <v>1</v>
      </c>
      <c r="P178">
        <v>1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0.47763184616490229</v>
      </c>
      <c r="AE178">
        <v>3.7602993437686458E-2</v>
      </c>
      <c r="AF178">
        <v>7.8727986292404868</v>
      </c>
      <c r="AH178">
        <f t="shared" si="2"/>
        <v>0.47763184616490229</v>
      </c>
      <c r="AJ178">
        <v>0.466903686523437</v>
      </c>
      <c r="AK178">
        <v>1.44053027033805E-2</v>
      </c>
      <c r="AL178" s="13"/>
      <c r="AM178" s="13">
        <v>0.35715045332908602</v>
      </c>
      <c r="AN178">
        <v>3.2917689159692697E-2</v>
      </c>
      <c r="AS178">
        <v>0.34986267755761702</v>
      </c>
      <c r="AU178" s="13"/>
    </row>
    <row r="179" spans="1:47" ht="16" x14ac:dyDescent="0.25">
      <c r="A179" s="9">
        <v>26</v>
      </c>
      <c r="B179">
        <v>0</v>
      </c>
      <c r="C179">
        <v>0</v>
      </c>
      <c r="D179">
        <v>1</v>
      </c>
      <c r="E179">
        <v>1</v>
      </c>
      <c r="F179">
        <v>0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1</v>
      </c>
      <c r="R179">
        <v>1</v>
      </c>
      <c r="S179">
        <v>0</v>
      </c>
      <c r="T179">
        <v>0</v>
      </c>
      <c r="U179">
        <v>0</v>
      </c>
      <c r="V179">
        <v>1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0.41561333628925362</v>
      </c>
      <c r="AE179">
        <v>1.4214580323430081E-2</v>
      </c>
      <c r="AF179">
        <v>3.4201453808828659</v>
      </c>
      <c r="AH179">
        <f t="shared" si="2"/>
        <v>0.41561333628925362</v>
      </c>
      <c r="AJ179">
        <v>0.40949419140815702</v>
      </c>
      <c r="AK179">
        <v>1.37584852054715E-2</v>
      </c>
      <c r="AL179" s="13"/>
      <c r="AM179" s="13">
        <v>0.44099090099334698</v>
      </c>
      <c r="AN179">
        <v>3.8314034826830302E-2</v>
      </c>
      <c r="AS179">
        <v>0.354972038404959</v>
      </c>
      <c r="AU179" s="13"/>
    </row>
    <row r="180" spans="1:47" ht="16" x14ac:dyDescent="0.25">
      <c r="A180" s="9">
        <v>27</v>
      </c>
      <c r="B180">
        <v>0</v>
      </c>
      <c r="C180">
        <v>0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1</v>
      </c>
      <c r="O180">
        <v>1</v>
      </c>
      <c r="P180">
        <v>1</v>
      </c>
      <c r="Q180">
        <v>0</v>
      </c>
      <c r="R180">
        <v>0</v>
      </c>
      <c r="S180">
        <v>1</v>
      </c>
      <c r="T180">
        <v>1</v>
      </c>
      <c r="U180">
        <v>1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0.37140610036303467</v>
      </c>
      <c r="AE180">
        <v>1.316081368376611E-2</v>
      </c>
      <c r="AF180">
        <v>3.54351037069718</v>
      </c>
      <c r="AH180">
        <f t="shared" si="2"/>
        <v>0.37140610036303467</v>
      </c>
      <c r="AJ180">
        <v>0.372385114431381</v>
      </c>
      <c r="AK180">
        <v>1.34340999647974E-2</v>
      </c>
      <c r="AL180" s="13"/>
      <c r="AM180" s="13">
        <v>0.47999024987220701</v>
      </c>
      <c r="AN180">
        <v>1.23535005800187E-2</v>
      </c>
      <c r="AS180">
        <v>0.43598565816344298</v>
      </c>
      <c r="AU180" s="13"/>
    </row>
    <row r="181" spans="1:47" ht="16" x14ac:dyDescent="0.25">
      <c r="A181" s="9">
        <v>28</v>
      </c>
      <c r="B181">
        <v>0</v>
      </c>
      <c r="C181">
        <v>0</v>
      </c>
      <c r="D181">
        <v>1</v>
      </c>
      <c r="E181">
        <v>1</v>
      </c>
      <c r="F181">
        <v>0</v>
      </c>
      <c r="G181">
        <v>1</v>
      </c>
      <c r="H181">
        <v>1</v>
      </c>
      <c r="I181">
        <v>1</v>
      </c>
      <c r="J181">
        <v>0</v>
      </c>
      <c r="K181">
        <v>0</v>
      </c>
      <c r="L181">
        <v>1</v>
      </c>
      <c r="M181">
        <v>1</v>
      </c>
      <c r="N181">
        <v>0</v>
      </c>
      <c r="O181">
        <v>0</v>
      </c>
      <c r="P181">
        <v>0</v>
      </c>
      <c r="Q181">
        <v>1</v>
      </c>
      <c r="R181">
        <v>1</v>
      </c>
      <c r="S181">
        <v>0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0.40220348197744799</v>
      </c>
      <c r="AE181">
        <v>4.8721130998298237E-2</v>
      </c>
      <c r="AF181">
        <v>12.113552761591979</v>
      </c>
      <c r="AH181">
        <f t="shared" si="2"/>
        <v>0.40220348197744799</v>
      </c>
      <c r="AJ181">
        <v>0.39693900942802401</v>
      </c>
      <c r="AK181">
        <v>1.94806531071662E-2</v>
      </c>
      <c r="AL181" s="13"/>
      <c r="AM181" s="13">
        <v>0.45166206359863198</v>
      </c>
      <c r="AN181">
        <v>3.4676249823397801E-2</v>
      </c>
      <c r="AS181">
        <v>0.43563431256692697</v>
      </c>
      <c r="AU181" s="13"/>
    </row>
    <row r="182" spans="1:47" ht="16" x14ac:dyDescent="0.25">
      <c r="A182" s="9">
        <v>29</v>
      </c>
      <c r="B182">
        <v>0</v>
      </c>
      <c r="C182">
        <v>0</v>
      </c>
      <c r="D182">
        <v>1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1</v>
      </c>
      <c r="K182">
        <v>1</v>
      </c>
      <c r="L182">
        <v>1</v>
      </c>
      <c r="M182">
        <v>0</v>
      </c>
      <c r="N182">
        <v>1</v>
      </c>
      <c r="O182">
        <v>1</v>
      </c>
      <c r="P182">
        <v>1</v>
      </c>
      <c r="Q182">
        <v>0</v>
      </c>
      <c r="R182">
        <v>0</v>
      </c>
      <c r="S182">
        <v>1</v>
      </c>
      <c r="T182">
        <v>1</v>
      </c>
      <c r="U182">
        <v>1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0.64828211242714795</v>
      </c>
      <c r="AE182">
        <v>2.9618743120795401E-2</v>
      </c>
      <c r="AF182">
        <v>4.5688046227133663</v>
      </c>
      <c r="AH182">
        <f t="shared" si="2"/>
        <v>0.64828211242714795</v>
      </c>
      <c r="AJ182">
        <v>0.60060578584670998</v>
      </c>
      <c r="AK182">
        <v>1.46808819845318E-2</v>
      </c>
      <c r="AL182" s="13"/>
      <c r="AM182" s="13">
        <v>0.55755755901336601</v>
      </c>
      <c r="AN182">
        <v>9.5382630833963297E-3</v>
      </c>
      <c r="AS182">
        <v>0.41341094410159201</v>
      </c>
      <c r="AU182" s="13"/>
    </row>
    <row r="183" spans="1:47" ht="16" x14ac:dyDescent="0.25">
      <c r="A183" s="9">
        <v>30</v>
      </c>
      <c r="B183">
        <v>0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0</v>
      </c>
      <c r="O183">
        <v>0</v>
      </c>
      <c r="P183">
        <v>0</v>
      </c>
      <c r="Q183">
        <v>1</v>
      </c>
      <c r="R183">
        <v>1</v>
      </c>
      <c r="S183">
        <v>0</v>
      </c>
      <c r="T183">
        <v>1</v>
      </c>
      <c r="U183">
        <v>1</v>
      </c>
      <c r="V183">
        <v>1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0.43057727480991331</v>
      </c>
      <c r="AE183">
        <v>2.506965035899289E-2</v>
      </c>
      <c r="AF183">
        <v>5.8223347644300034</v>
      </c>
      <c r="AH183">
        <f t="shared" si="2"/>
        <v>0.43057727480991331</v>
      </c>
      <c r="AJ183">
        <v>0.42767372727394098</v>
      </c>
      <c r="AK183">
        <v>1.7587726935744199E-2</v>
      </c>
      <c r="AL183" s="13"/>
      <c r="AM183" s="13">
        <v>0.46320931315421998</v>
      </c>
      <c r="AN183">
        <v>3.9004972741019897E-2</v>
      </c>
      <c r="AS183">
        <v>0.40074736380774401</v>
      </c>
      <c r="AU183" s="13"/>
    </row>
    <row r="184" spans="1:47" ht="16" x14ac:dyDescent="0.25">
      <c r="A184" s="9" t="s">
        <v>35</v>
      </c>
      <c r="B184">
        <v>0</v>
      </c>
      <c r="C184">
        <v>0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0.34591205719919682</v>
      </c>
      <c r="AE184">
        <v>8.6300508007277257E-3</v>
      </c>
      <c r="AF184">
        <v>2.4948684560474939</v>
      </c>
      <c r="AH184">
        <f t="shared" si="2"/>
        <v>0.34591205719919682</v>
      </c>
      <c r="AJ184">
        <v>0.35834184288978499</v>
      </c>
      <c r="AK184">
        <v>2.3491962347179599E-3</v>
      </c>
      <c r="AL184" s="13"/>
      <c r="AM184" s="13">
        <v>0.31852610707283002</v>
      </c>
      <c r="AN184">
        <v>3.1785012243150099E-2</v>
      </c>
      <c r="AS184">
        <v>0.17531074873047001</v>
      </c>
      <c r="AU184" s="13"/>
    </row>
    <row r="185" spans="1:47" ht="16" x14ac:dyDescent="0.25">
      <c r="A185" s="9" t="s">
        <v>36</v>
      </c>
      <c r="B185">
        <v>0</v>
      </c>
      <c r="C185">
        <v>0</v>
      </c>
      <c r="D185">
        <v>1</v>
      </c>
      <c r="E185">
        <v>0</v>
      </c>
      <c r="F185">
        <v>1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0.35982308376841737</v>
      </c>
      <c r="AE185">
        <v>7.3981459001744854E-3</v>
      </c>
      <c r="AF185">
        <v>2.0560509411163692</v>
      </c>
      <c r="AH185">
        <f t="shared" si="2"/>
        <v>0.35982308376841737</v>
      </c>
      <c r="AJ185">
        <v>0.37720385193824701</v>
      </c>
      <c r="AK185">
        <v>7.9916846007108602E-3</v>
      </c>
      <c r="AL185" s="13"/>
      <c r="AM185" s="13">
        <v>0.417710083723068</v>
      </c>
      <c r="AN185">
        <v>1.8191546329683499E-2</v>
      </c>
      <c r="AS185">
        <v>0.19501613889442801</v>
      </c>
      <c r="AU185" s="13"/>
    </row>
    <row r="186" spans="1:47" ht="16" x14ac:dyDescent="0.25">
      <c r="A186" s="9" t="s">
        <v>37</v>
      </c>
      <c r="B186">
        <v>0</v>
      </c>
      <c r="C186">
        <v>0</v>
      </c>
      <c r="D186">
        <v>1</v>
      </c>
      <c r="E186">
        <v>0</v>
      </c>
      <c r="F186">
        <v>1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1</v>
      </c>
      <c r="Q186">
        <v>1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0.39241641573316199</v>
      </c>
      <c r="AE186">
        <v>1.691342001550105E-2</v>
      </c>
      <c r="AF186">
        <v>4.3100694408773039</v>
      </c>
      <c r="AH186">
        <f t="shared" si="2"/>
        <v>0.39241641573316199</v>
      </c>
      <c r="AJ186">
        <v>0.39633858203887901</v>
      </c>
      <c r="AK186">
        <v>9.1141657903790405E-3</v>
      </c>
      <c r="AL186" s="13"/>
      <c r="AM186" s="13">
        <v>0.36107163429260197</v>
      </c>
      <c r="AN186">
        <v>1.1843626037340699E-2</v>
      </c>
      <c r="AS186">
        <v>0.19867925838100201</v>
      </c>
      <c r="AU186" s="13"/>
    </row>
    <row r="187" spans="1:47" ht="16" x14ac:dyDescent="0.25">
      <c r="A187" s="9" t="s">
        <v>38</v>
      </c>
      <c r="B187">
        <v>0</v>
      </c>
      <c r="C187">
        <v>0</v>
      </c>
      <c r="D187">
        <v>1</v>
      </c>
      <c r="E187">
        <v>0</v>
      </c>
      <c r="F187">
        <v>1</v>
      </c>
      <c r="G187">
        <v>0</v>
      </c>
      <c r="H187">
        <v>0</v>
      </c>
      <c r="I187">
        <v>1</v>
      </c>
      <c r="J187">
        <v>1</v>
      </c>
      <c r="K187">
        <v>1</v>
      </c>
      <c r="L187">
        <v>0</v>
      </c>
      <c r="M187">
        <v>1</v>
      </c>
      <c r="N187">
        <v>0</v>
      </c>
      <c r="O187">
        <v>0</v>
      </c>
      <c r="P187">
        <v>1</v>
      </c>
      <c r="Q187">
        <v>1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0.41630903279471032</v>
      </c>
      <c r="AE187">
        <v>4.8760849036629458E-3</v>
      </c>
      <c r="AF187">
        <v>1.171265699168107</v>
      </c>
      <c r="AH187">
        <f t="shared" si="2"/>
        <v>0.41630903279471032</v>
      </c>
      <c r="AJ187">
        <v>0.42659330368041898</v>
      </c>
      <c r="AK187">
        <v>4.6349251642823202E-3</v>
      </c>
      <c r="AL187" s="13"/>
      <c r="AM187" s="13">
        <v>0.417962080240249</v>
      </c>
      <c r="AN187">
        <v>3.0704755756737E-2</v>
      </c>
      <c r="AS187">
        <v>0.28535182096949602</v>
      </c>
      <c r="AU187" s="13"/>
    </row>
    <row r="188" spans="1:47" ht="16" x14ac:dyDescent="0.25">
      <c r="A188" s="9" t="s">
        <v>39</v>
      </c>
      <c r="B188">
        <v>0</v>
      </c>
      <c r="C188">
        <v>0</v>
      </c>
      <c r="D188">
        <v>1</v>
      </c>
      <c r="E188">
        <v>0</v>
      </c>
      <c r="F188">
        <v>1</v>
      </c>
      <c r="G188">
        <v>0</v>
      </c>
      <c r="H188">
        <v>0</v>
      </c>
      <c r="I188">
        <v>1</v>
      </c>
      <c r="J188">
        <v>1</v>
      </c>
      <c r="K188">
        <v>1</v>
      </c>
      <c r="L188">
        <v>0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0.35633569288741951</v>
      </c>
      <c r="AE188">
        <v>2.707809085233322E-3</v>
      </c>
      <c r="AF188">
        <v>0.75990397237271023</v>
      </c>
      <c r="AH188">
        <f t="shared" si="2"/>
        <v>0.35633569288741951</v>
      </c>
      <c r="AJ188">
        <v>0.39854097366333002</v>
      </c>
      <c r="AK188">
        <v>6.2628458254039201E-3</v>
      </c>
      <c r="AL188" s="13"/>
      <c r="AM188" s="13">
        <v>0.45557470917701698</v>
      </c>
      <c r="AN188">
        <v>2.8114997783532499E-2</v>
      </c>
      <c r="AS188">
        <v>0.29152544561618199</v>
      </c>
      <c r="AU188" s="13"/>
    </row>
    <row r="189" spans="1:47" ht="16" x14ac:dyDescent="0.25">
      <c r="A189" s="9" t="s">
        <v>40</v>
      </c>
      <c r="B189">
        <v>0</v>
      </c>
      <c r="C189">
        <v>0</v>
      </c>
      <c r="D189">
        <v>1</v>
      </c>
      <c r="E189">
        <v>0</v>
      </c>
      <c r="F189">
        <v>1</v>
      </c>
      <c r="G189">
        <v>0</v>
      </c>
      <c r="H189">
        <v>0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0</v>
      </c>
      <c r="S189">
        <v>1</v>
      </c>
      <c r="T189">
        <v>1</v>
      </c>
      <c r="U189">
        <v>1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0.59783363606312978</v>
      </c>
      <c r="AE189">
        <v>1.8042976603181979E-2</v>
      </c>
      <c r="AF189">
        <v>3.0180597936909468</v>
      </c>
      <c r="AH189">
        <f t="shared" si="2"/>
        <v>0.59783363606312978</v>
      </c>
      <c r="AJ189">
        <v>0.61176013946533203</v>
      </c>
      <c r="AK189">
        <v>1.69485006481409E-2</v>
      </c>
      <c r="AL189" s="13"/>
      <c r="AM189" s="13">
        <v>0.63228983879089296</v>
      </c>
      <c r="AN189">
        <v>2.36834692634432E-2</v>
      </c>
      <c r="AS189">
        <v>0.42338138742071901</v>
      </c>
      <c r="AU189" s="13"/>
    </row>
    <row r="190" spans="1:47" ht="16" x14ac:dyDescent="0.25">
      <c r="A190" s="9" t="s">
        <v>42</v>
      </c>
      <c r="B190">
        <v>0</v>
      </c>
      <c r="C190">
        <v>0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0.78305831835210871</v>
      </c>
      <c r="AE190">
        <v>1.6615342661960391E-2</v>
      </c>
      <c r="AF190">
        <v>2.1218525201196021</v>
      </c>
      <c r="AH190">
        <f t="shared" si="2"/>
        <v>0.78305831835210871</v>
      </c>
      <c r="AJ190">
        <v>0.68169498443603505</v>
      </c>
      <c r="AK190">
        <v>2.9778057709336201E-2</v>
      </c>
      <c r="AL190" s="13"/>
      <c r="AM190" s="13">
        <v>0.66552873849868699</v>
      </c>
      <c r="AN190">
        <v>3.2910907555598397E-2</v>
      </c>
      <c r="AS190">
        <v>0.48105493740872302</v>
      </c>
      <c r="AU190" s="13"/>
    </row>
    <row r="191" spans="1:47" ht="16" x14ac:dyDescent="0.25">
      <c r="A191" s="9" t="s">
        <v>43</v>
      </c>
      <c r="B191">
        <v>0</v>
      </c>
      <c r="C191">
        <v>0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1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1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0.23525418601533199</v>
      </c>
      <c r="AE191">
        <v>2.2264469849430469E-2</v>
      </c>
      <c r="AF191">
        <v>9.4640058170864805</v>
      </c>
      <c r="AH191">
        <f t="shared" si="2"/>
        <v>0.23525418601533199</v>
      </c>
      <c r="AJ191">
        <v>0.258729368448257</v>
      </c>
      <c r="AK191">
        <v>5.9593748301267598E-3</v>
      </c>
      <c r="AL191" s="13"/>
      <c r="AM191" s="13">
        <v>0.30667829513549799</v>
      </c>
      <c r="AN191">
        <v>3.7902473763967402E-2</v>
      </c>
      <c r="AS191">
        <v>0.242892548340227</v>
      </c>
      <c r="AU191" s="13"/>
    </row>
    <row r="192" spans="1:47" ht="16" x14ac:dyDescent="0.25">
      <c r="A192" s="9" t="s">
        <v>45</v>
      </c>
      <c r="B192">
        <v>0</v>
      </c>
      <c r="C192">
        <v>0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0</v>
      </c>
      <c r="T192">
        <v>0</v>
      </c>
      <c r="U192">
        <v>0</v>
      </c>
      <c r="V192">
        <v>1</v>
      </c>
      <c r="W192">
        <v>1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0.27328695204299069</v>
      </c>
      <c r="AE192">
        <v>3.343370308282935E-2</v>
      </c>
      <c r="AF192">
        <v>12.233918536136301</v>
      </c>
      <c r="AH192">
        <f t="shared" si="2"/>
        <v>0.27328695204299069</v>
      </c>
      <c r="AJ192">
        <v>0.30695417523384</v>
      </c>
      <c r="AK192">
        <v>4.0242350660264397E-3</v>
      </c>
      <c r="AL192" s="13"/>
      <c r="AM192" s="13">
        <v>0.297826799750328</v>
      </c>
      <c r="AN192">
        <v>4.60854560581829E-2</v>
      </c>
      <c r="AS192">
        <v>0.251216267564283</v>
      </c>
      <c r="AU192" s="13"/>
    </row>
    <row r="193" spans="1:47" ht="16" x14ac:dyDescent="0.25">
      <c r="A193" s="9" t="s">
        <v>49</v>
      </c>
      <c r="B193">
        <v>0</v>
      </c>
      <c r="C193">
        <v>0</v>
      </c>
      <c r="D193">
        <v>1</v>
      </c>
      <c r="E193">
        <v>0</v>
      </c>
      <c r="F193">
        <v>1</v>
      </c>
      <c r="G193">
        <v>0</v>
      </c>
      <c r="H193">
        <v>0</v>
      </c>
      <c r="I193">
        <v>1</v>
      </c>
      <c r="J193">
        <v>1</v>
      </c>
      <c r="K193">
        <v>1</v>
      </c>
      <c r="L193">
        <v>0</v>
      </c>
      <c r="M193">
        <v>1</v>
      </c>
      <c r="N193">
        <v>0</v>
      </c>
      <c r="O193">
        <v>0</v>
      </c>
      <c r="P193">
        <v>1</v>
      </c>
      <c r="Q193">
        <v>1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0.50301302213882371</v>
      </c>
      <c r="AE193">
        <v>2.907263379726506E-2</v>
      </c>
      <c r="AF193">
        <v>5.7796980431336564</v>
      </c>
      <c r="AH193">
        <f t="shared" si="2"/>
        <v>0.50301302213882371</v>
      </c>
      <c r="AJ193">
        <v>0.49777969717979398</v>
      </c>
      <c r="AK193">
        <v>8.3710951730608905E-3</v>
      </c>
      <c r="AL193" s="13"/>
      <c r="AM193" s="13">
        <v>0.45812439918518</v>
      </c>
      <c r="AN193">
        <v>2.4100635909343499E-2</v>
      </c>
      <c r="AS193">
        <v>0.48200160254091701</v>
      </c>
      <c r="AU193" s="13"/>
    </row>
    <row r="194" spans="1:47" ht="16" x14ac:dyDescent="0.25">
      <c r="A194" s="9" t="s">
        <v>50</v>
      </c>
      <c r="B194">
        <v>0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0</v>
      </c>
      <c r="T194">
        <v>0</v>
      </c>
      <c r="U194">
        <v>0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0.25789135087492671</v>
      </c>
      <c r="AE194">
        <v>1.8177135222527719E-2</v>
      </c>
      <c r="AF194">
        <v>7.0483694628996476</v>
      </c>
      <c r="AH194">
        <f t="shared" ref="AH194:AH257" si="3">AD194</f>
        <v>0.25789135087492671</v>
      </c>
      <c r="AJ194">
        <v>0.27767580747604298</v>
      </c>
      <c r="AK194">
        <v>9.0418756008148193E-3</v>
      </c>
      <c r="AL194" s="13"/>
      <c r="AM194" s="13">
        <v>0.30365552902221599</v>
      </c>
      <c r="AN194">
        <v>2.0644060864833499E-2</v>
      </c>
      <c r="AS194">
        <v>0.42380755938926101</v>
      </c>
      <c r="AU194" s="13"/>
    </row>
    <row r="195" spans="1:47" ht="16" x14ac:dyDescent="0.25">
      <c r="A195" s="9" t="s">
        <v>51</v>
      </c>
      <c r="B195">
        <v>0</v>
      </c>
      <c r="C195">
        <v>0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0.34776982326478878</v>
      </c>
      <c r="AE195">
        <v>4.2484549615113908E-2</v>
      </c>
      <c r="AF195">
        <v>12.21628409741766</v>
      </c>
      <c r="AH195">
        <f t="shared" si="3"/>
        <v>0.34776982326478878</v>
      </c>
      <c r="AJ195">
        <v>0.35387423634529103</v>
      </c>
      <c r="AK195">
        <v>2.8900874312967001E-3</v>
      </c>
      <c r="AL195" s="13"/>
      <c r="AM195" s="13">
        <v>0.37424954175949099</v>
      </c>
      <c r="AN195">
        <v>4.6874121840406298E-2</v>
      </c>
      <c r="AS195">
        <v>0.36939961070907301</v>
      </c>
      <c r="AU195" s="13"/>
    </row>
    <row r="196" spans="1:47" ht="16" x14ac:dyDescent="0.25">
      <c r="A196" s="9" t="s">
        <v>52</v>
      </c>
      <c r="B196">
        <v>0</v>
      </c>
      <c r="C196">
        <v>0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1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1</v>
      </c>
      <c r="W196">
        <v>1</v>
      </c>
      <c r="X196">
        <v>0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0.19672122896831251</v>
      </c>
      <c r="AE196">
        <v>1.17811873430172E-2</v>
      </c>
      <c r="AF196">
        <v>5.9887727444580436</v>
      </c>
      <c r="AH196">
        <f t="shared" si="3"/>
        <v>0.19672122896831251</v>
      </c>
      <c r="AJ196">
        <v>0.211017370223999</v>
      </c>
      <c r="AK196">
        <v>1.7290787771344102E-2</v>
      </c>
      <c r="AL196" s="13"/>
      <c r="AM196" s="13">
        <v>0.28562829494476299</v>
      </c>
      <c r="AN196">
        <v>2.0543685977272901E-2</v>
      </c>
      <c r="AS196">
        <v>0.41135112453988898</v>
      </c>
      <c r="AU196" s="13"/>
    </row>
    <row r="197" spans="1:47" ht="16" x14ac:dyDescent="0.25">
      <c r="A197" s="9" t="s">
        <v>53</v>
      </c>
      <c r="B197">
        <v>0</v>
      </c>
      <c r="C197">
        <v>0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0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0</v>
      </c>
      <c r="U197">
        <v>0</v>
      </c>
      <c r="V197">
        <v>1</v>
      </c>
      <c r="W197">
        <v>1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0.37378318030312008</v>
      </c>
      <c r="AE197">
        <v>1.131025301858081E-2</v>
      </c>
      <c r="AF197">
        <v>3.0258860255318978</v>
      </c>
      <c r="AH197">
        <f t="shared" si="3"/>
        <v>0.37378318030312008</v>
      </c>
      <c r="AJ197">
        <v>0.409280896186828</v>
      </c>
      <c r="AK197">
        <v>5.6484458036720701E-3</v>
      </c>
      <c r="AL197" s="13"/>
      <c r="AM197" s="13">
        <v>0.42243549823760901</v>
      </c>
      <c r="AN197">
        <v>4.0326165877392101E-2</v>
      </c>
      <c r="AS197">
        <v>0.366183940783816</v>
      </c>
      <c r="AU197" s="13"/>
    </row>
    <row r="198" spans="1:47" ht="16" x14ac:dyDescent="0.25">
      <c r="A198" s="9" t="s">
        <v>54</v>
      </c>
      <c r="B198">
        <v>0</v>
      </c>
      <c r="C198">
        <v>0</v>
      </c>
      <c r="D198">
        <v>1</v>
      </c>
      <c r="E198">
        <v>0</v>
      </c>
      <c r="F198">
        <v>1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1</v>
      </c>
      <c r="M198">
        <v>0</v>
      </c>
      <c r="N198">
        <v>1</v>
      </c>
      <c r="O198">
        <v>1</v>
      </c>
      <c r="P198">
        <v>0</v>
      </c>
      <c r="Q198">
        <v>1</v>
      </c>
      <c r="R198">
        <v>0</v>
      </c>
      <c r="S198">
        <v>1</v>
      </c>
      <c r="T198">
        <v>1</v>
      </c>
      <c r="U198">
        <v>1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0.75803102728940353</v>
      </c>
      <c r="AE198">
        <v>4.2781325898821332E-2</v>
      </c>
      <c r="AF198">
        <v>5.6437433770752694</v>
      </c>
      <c r="AH198">
        <f t="shared" si="3"/>
        <v>0.75803102728940353</v>
      </c>
      <c r="AJ198">
        <v>0.70320624113082797</v>
      </c>
      <c r="AK198">
        <v>1.7247477546334201E-2</v>
      </c>
      <c r="AL198" s="13"/>
      <c r="AM198" s="13">
        <v>0.58475773334503101</v>
      </c>
      <c r="AN198">
        <v>2.05356658273225E-2</v>
      </c>
      <c r="AS198">
        <v>0.338865354801623</v>
      </c>
      <c r="AU198" s="13"/>
    </row>
    <row r="199" spans="1:47" ht="16" x14ac:dyDescent="0.25">
      <c r="A199" s="9" t="s">
        <v>56</v>
      </c>
      <c r="B199">
        <v>0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0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0.57530763378722638</v>
      </c>
      <c r="AE199">
        <v>4.5211924668851697E-3</v>
      </c>
      <c r="AF199">
        <v>0.78587388752732978</v>
      </c>
      <c r="AH199">
        <f t="shared" si="3"/>
        <v>0.57530763378722638</v>
      </c>
      <c r="AJ199">
        <v>0.57043474912643399</v>
      </c>
      <c r="AK199">
        <v>1.47590450942516E-2</v>
      </c>
      <c r="AL199" s="13"/>
      <c r="AM199" s="13">
        <v>0.57450867891311597</v>
      </c>
      <c r="AN199">
        <v>5.5995692155140199E-2</v>
      </c>
      <c r="AS199">
        <v>0.409410994634267</v>
      </c>
      <c r="AU199" s="13"/>
    </row>
    <row r="200" spans="1:47" ht="16" x14ac:dyDescent="0.25">
      <c r="A200" s="9" t="s">
        <v>57</v>
      </c>
      <c r="B200">
        <v>0</v>
      </c>
      <c r="C200">
        <v>0</v>
      </c>
      <c r="D200">
        <v>1</v>
      </c>
      <c r="E200">
        <v>0</v>
      </c>
      <c r="F200">
        <v>1</v>
      </c>
      <c r="G200">
        <v>0</v>
      </c>
      <c r="H200">
        <v>0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0.68064016841336938</v>
      </c>
      <c r="AE200">
        <v>9.5605703641822148E-3</v>
      </c>
      <c r="AF200">
        <v>1.4046438643885391</v>
      </c>
      <c r="AH200">
        <f t="shared" si="3"/>
        <v>0.68064016841336938</v>
      </c>
      <c r="AJ200">
        <v>0.66494292020797696</v>
      </c>
      <c r="AK200">
        <v>2.4184819310903501E-2</v>
      </c>
      <c r="AL200" s="13"/>
      <c r="AM200" s="13">
        <v>0.66634472608566198</v>
      </c>
      <c r="AN200">
        <v>3.3621584795793399E-2</v>
      </c>
      <c r="AS200">
        <v>0.43524773444315201</v>
      </c>
      <c r="AU200" s="13"/>
    </row>
    <row r="201" spans="1:47" ht="16" x14ac:dyDescent="0.25">
      <c r="A201" s="9" t="s">
        <v>59</v>
      </c>
      <c r="B201">
        <v>0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0</v>
      </c>
      <c r="O201">
        <v>0</v>
      </c>
      <c r="P201">
        <v>1</v>
      </c>
      <c r="Q201">
        <v>1</v>
      </c>
      <c r="R201">
        <v>1</v>
      </c>
      <c r="S201">
        <v>0</v>
      </c>
      <c r="T201">
        <v>1</v>
      </c>
      <c r="U201">
        <v>1</v>
      </c>
      <c r="V201">
        <v>1</v>
      </c>
      <c r="W201">
        <v>1</v>
      </c>
      <c r="X201">
        <v>0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0.44821658489176108</v>
      </c>
      <c r="AE201">
        <v>9.1988579553878291E-3</v>
      </c>
      <c r="AF201">
        <v>2.0523243149535051</v>
      </c>
      <c r="AH201">
        <f t="shared" si="3"/>
        <v>0.44821658489176108</v>
      </c>
      <c r="AJ201">
        <v>0.449429541826248</v>
      </c>
      <c r="AK201">
        <v>2.0527862012386301E-2</v>
      </c>
      <c r="AL201" s="13"/>
      <c r="AM201" s="13">
        <v>0.50491170883178704</v>
      </c>
      <c r="AN201">
        <v>3.6222524609048998E-2</v>
      </c>
      <c r="AS201">
        <v>0.53627484423273997</v>
      </c>
      <c r="AU201" s="13"/>
    </row>
    <row r="202" spans="1:47" ht="16" x14ac:dyDescent="0.25">
      <c r="A202" s="9" t="s">
        <v>60</v>
      </c>
      <c r="B202">
        <v>0</v>
      </c>
      <c r="C202">
        <v>0</v>
      </c>
      <c r="D202">
        <v>1</v>
      </c>
      <c r="E202">
        <v>1</v>
      </c>
      <c r="F202">
        <v>0</v>
      </c>
      <c r="G202">
        <v>1</v>
      </c>
      <c r="H202">
        <v>1</v>
      </c>
      <c r="I202">
        <v>0</v>
      </c>
      <c r="J202">
        <v>1</v>
      </c>
      <c r="K202">
        <v>1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0.44306396493933892</v>
      </c>
      <c r="AE202">
        <v>1.587349930252108E-2</v>
      </c>
      <c r="AF202">
        <v>3.5826653843749998</v>
      </c>
      <c r="AH202">
        <f t="shared" si="3"/>
        <v>0.44306396493933892</v>
      </c>
      <c r="AJ202">
        <v>0.418155908584594</v>
      </c>
      <c r="AK202">
        <v>1.35878892615437E-2</v>
      </c>
      <c r="AL202" s="13"/>
      <c r="AM202" s="13">
        <v>0.41744418740272499</v>
      </c>
      <c r="AN202">
        <v>4.1213093916921698E-2</v>
      </c>
      <c r="AS202">
        <v>0.44100734759969501</v>
      </c>
      <c r="AU202" s="13"/>
    </row>
    <row r="203" spans="1:47" ht="16" x14ac:dyDescent="0.25">
      <c r="A203" s="9" t="s">
        <v>61</v>
      </c>
      <c r="B203">
        <v>0</v>
      </c>
      <c r="C203">
        <v>0</v>
      </c>
      <c r="D203">
        <v>1</v>
      </c>
      <c r="E203">
        <v>1</v>
      </c>
      <c r="F203">
        <v>0</v>
      </c>
      <c r="G203">
        <v>1</v>
      </c>
      <c r="H203">
        <v>1</v>
      </c>
      <c r="I203">
        <v>0</v>
      </c>
      <c r="J203">
        <v>1</v>
      </c>
      <c r="K203">
        <v>1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1</v>
      </c>
      <c r="U203">
        <v>1</v>
      </c>
      <c r="V203">
        <v>1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0.47420913164235229</v>
      </c>
      <c r="AE203">
        <v>2.525022903617799E-2</v>
      </c>
      <c r="AF203">
        <v>5.3247032482752088</v>
      </c>
      <c r="AH203">
        <f t="shared" si="3"/>
        <v>0.47420913164235229</v>
      </c>
      <c r="AJ203">
        <v>0.46620368957519498</v>
      </c>
      <c r="AK203">
        <v>1.2937629595398899E-2</v>
      </c>
      <c r="AL203" s="13"/>
      <c r="AM203" s="13">
        <v>0.44968031644821099</v>
      </c>
      <c r="AN203">
        <v>3.55853596931602E-2</v>
      </c>
      <c r="AS203">
        <v>0.456534222054789</v>
      </c>
      <c r="AU203" s="13"/>
    </row>
    <row r="204" spans="1:47" ht="16" x14ac:dyDescent="0.25">
      <c r="A204" s="9" t="s">
        <v>62</v>
      </c>
      <c r="B204">
        <v>0</v>
      </c>
      <c r="C204">
        <v>0</v>
      </c>
      <c r="D204">
        <v>1</v>
      </c>
      <c r="E204">
        <v>1</v>
      </c>
      <c r="F204">
        <v>0</v>
      </c>
      <c r="G204">
        <v>1</v>
      </c>
      <c r="H204">
        <v>1</v>
      </c>
      <c r="I204">
        <v>0</v>
      </c>
      <c r="J204">
        <v>1</v>
      </c>
      <c r="K204">
        <v>1</v>
      </c>
      <c r="L204">
        <v>1</v>
      </c>
      <c r="M204">
        <v>1</v>
      </c>
      <c r="N204">
        <v>0</v>
      </c>
      <c r="O204">
        <v>0</v>
      </c>
      <c r="P204">
        <v>1</v>
      </c>
      <c r="Q204">
        <v>0</v>
      </c>
      <c r="R204">
        <v>1</v>
      </c>
      <c r="S204">
        <v>0</v>
      </c>
      <c r="T204">
        <v>1</v>
      </c>
      <c r="U204">
        <v>1</v>
      </c>
      <c r="V204">
        <v>1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0.51862750017427373</v>
      </c>
      <c r="AE204">
        <v>2.3663241993457249E-2</v>
      </c>
      <c r="AF204">
        <v>4.5626662653842534</v>
      </c>
      <c r="AH204">
        <f t="shared" si="3"/>
        <v>0.51862750017427373</v>
      </c>
      <c r="AJ204">
        <v>0.50122183561324996</v>
      </c>
      <c r="AK204">
        <v>2.5110505521297399E-2</v>
      </c>
      <c r="AL204" s="13"/>
      <c r="AM204" s="13">
        <v>0.47846091985702499</v>
      </c>
      <c r="AN204">
        <v>4.0450681311077201E-2</v>
      </c>
      <c r="AS204">
        <v>0.46285602758440503</v>
      </c>
      <c r="AU204" s="13"/>
    </row>
    <row r="205" spans="1:47" ht="16" x14ac:dyDescent="0.25">
      <c r="A205" s="9" t="s">
        <v>63</v>
      </c>
      <c r="B205">
        <v>0</v>
      </c>
      <c r="C205">
        <v>0</v>
      </c>
      <c r="D205">
        <v>1</v>
      </c>
      <c r="E205">
        <v>1</v>
      </c>
      <c r="F205">
        <v>0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0</v>
      </c>
      <c r="O205">
        <v>0</v>
      </c>
      <c r="P205">
        <v>1</v>
      </c>
      <c r="Q205">
        <v>1</v>
      </c>
      <c r="R205">
        <v>1</v>
      </c>
      <c r="S205">
        <v>0</v>
      </c>
      <c r="T205">
        <v>1</v>
      </c>
      <c r="U205">
        <v>1</v>
      </c>
      <c r="V205">
        <v>1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0.47526373998676202</v>
      </c>
      <c r="AE205">
        <v>2.3134473714520931E-2</v>
      </c>
      <c r="AF205">
        <v>4.8677127599015479</v>
      </c>
      <c r="AH205">
        <f t="shared" si="3"/>
        <v>0.47526373998676202</v>
      </c>
      <c r="AJ205">
        <v>0.46466812491416898</v>
      </c>
      <c r="AK205">
        <v>1.8020326271653099E-2</v>
      </c>
      <c r="AL205" s="13"/>
      <c r="AM205" s="13">
        <v>0.472720056772232</v>
      </c>
      <c r="AN205">
        <v>3.1592786761972698E-2</v>
      </c>
      <c r="AS205">
        <v>0.46669836521989</v>
      </c>
      <c r="AU205" s="13"/>
    </row>
    <row r="206" spans="1:47" ht="16" x14ac:dyDescent="0.25">
      <c r="A206" s="9" t="s">
        <v>64</v>
      </c>
      <c r="B206">
        <v>0</v>
      </c>
      <c r="C206">
        <v>0</v>
      </c>
      <c r="D206">
        <v>1</v>
      </c>
      <c r="E206">
        <v>1</v>
      </c>
      <c r="F206">
        <v>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0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0.63780329791790891</v>
      </c>
      <c r="AE206">
        <v>1.506848913820889E-2</v>
      </c>
      <c r="AF206">
        <v>2.3625605554878049</v>
      </c>
      <c r="AH206">
        <f t="shared" si="3"/>
        <v>0.63780329791790891</v>
      </c>
      <c r="AJ206">
        <v>0.61744469404220503</v>
      </c>
      <c r="AK206">
        <v>2.8249757364392201E-2</v>
      </c>
      <c r="AL206" s="13"/>
      <c r="AM206" s="13">
        <v>0.59993047714233305</v>
      </c>
      <c r="AN206">
        <v>1.7475707124907099E-2</v>
      </c>
      <c r="AS206">
        <v>0.46897489226107703</v>
      </c>
      <c r="AU206" s="13"/>
    </row>
    <row r="207" spans="1:47" ht="16" x14ac:dyDescent="0.25">
      <c r="A207" s="9" t="s">
        <v>66</v>
      </c>
      <c r="B207">
        <v>0</v>
      </c>
      <c r="C207">
        <v>0</v>
      </c>
      <c r="D207">
        <v>1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1</v>
      </c>
      <c r="K207">
        <v>1</v>
      </c>
      <c r="L207">
        <v>1</v>
      </c>
      <c r="M207">
        <v>0</v>
      </c>
      <c r="N207">
        <v>1</v>
      </c>
      <c r="O207">
        <v>1</v>
      </c>
      <c r="P207">
        <v>0</v>
      </c>
      <c r="Q207">
        <v>0</v>
      </c>
      <c r="R207">
        <v>0</v>
      </c>
      <c r="S207">
        <v>1</v>
      </c>
      <c r="T207">
        <v>1</v>
      </c>
      <c r="U207">
        <v>1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0.59505584426712832</v>
      </c>
      <c r="AE207">
        <v>1.143159412873271E-2</v>
      </c>
      <c r="AF207">
        <v>1.921096017939607</v>
      </c>
      <c r="AH207">
        <f t="shared" si="3"/>
        <v>0.59505584426712832</v>
      </c>
      <c r="AJ207">
        <v>0.61066323518752996</v>
      </c>
      <c r="AK207">
        <v>1.3534259051084499E-2</v>
      </c>
      <c r="AL207" s="13"/>
      <c r="AM207" s="13">
        <v>0.66136304140090896</v>
      </c>
      <c r="AN207">
        <v>1.1348757420820201E-2</v>
      </c>
      <c r="AS207">
        <v>0.40906764430189202</v>
      </c>
      <c r="AU207" s="13"/>
    </row>
    <row r="208" spans="1:47" ht="16" x14ac:dyDescent="0.25">
      <c r="A208" s="9" t="s">
        <v>67</v>
      </c>
      <c r="B208">
        <v>0</v>
      </c>
      <c r="C208">
        <v>0</v>
      </c>
      <c r="D208">
        <v>1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1</v>
      </c>
      <c r="K208">
        <v>1</v>
      </c>
      <c r="L208">
        <v>1</v>
      </c>
      <c r="M208">
        <v>0</v>
      </c>
      <c r="N208">
        <v>1</v>
      </c>
      <c r="O208">
        <v>1</v>
      </c>
      <c r="P208">
        <v>0</v>
      </c>
      <c r="Q208">
        <v>0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0.63528158908340926</v>
      </c>
      <c r="AE208">
        <v>1.9001075258906871E-2</v>
      </c>
      <c r="AF208">
        <v>2.9909689790194949</v>
      </c>
      <c r="AH208">
        <f t="shared" si="3"/>
        <v>0.63528158908340926</v>
      </c>
      <c r="AJ208">
        <v>0.63482242822647095</v>
      </c>
      <c r="AK208">
        <v>2.3902758955955498E-2</v>
      </c>
      <c r="AL208" s="13"/>
      <c r="AM208" s="13">
        <v>0.66714001893997099</v>
      </c>
      <c r="AN208">
        <v>4.5665239469458899E-2</v>
      </c>
      <c r="AS208">
        <v>0.42068643547426299</v>
      </c>
      <c r="AU208" s="13"/>
    </row>
    <row r="209" spans="1:47" ht="16" x14ac:dyDescent="0.25">
      <c r="A209" s="9" t="s">
        <v>69</v>
      </c>
      <c r="B209">
        <v>0</v>
      </c>
      <c r="C209">
        <v>0</v>
      </c>
      <c r="D209">
        <v>1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1</v>
      </c>
      <c r="K209">
        <v>1</v>
      </c>
      <c r="L209">
        <v>1</v>
      </c>
      <c r="M209">
        <v>0</v>
      </c>
      <c r="N209">
        <v>1</v>
      </c>
      <c r="O209">
        <v>1</v>
      </c>
      <c r="P209">
        <v>0</v>
      </c>
      <c r="Q209">
        <v>0</v>
      </c>
      <c r="R209">
        <v>0</v>
      </c>
      <c r="S209">
        <v>1</v>
      </c>
      <c r="T209">
        <v>1</v>
      </c>
      <c r="U209">
        <v>1</v>
      </c>
      <c r="V209">
        <v>0</v>
      </c>
      <c r="W209">
        <v>0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0.58677019562368338</v>
      </c>
      <c r="AE209">
        <v>6.9017806248203042E-2</v>
      </c>
      <c r="AF209">
        <v>11.762323097348769</v>
      </c>
      <c r="AH209">
        <f t="shared" si="3"/>
        <v>0.58677019562368338</v>
      </c>
      <c r="AJ209">
        <v>0.56449645757675104</v>
      </c>
      <c r="AK209">
        <v>1.1460612528026101E-2</v>
      </c>
      <c r="AL209" s="13"/>
      <c r="AM209" s="13">
        <v>0.58051139116287198</v>
      </c>
      <c r="AN209">
        <v>1.9960130080666699E-2</v>
      </c>
      <c r="AS209">
        <v>0.54205138869618896</v>
      </c>
      <c r="AU209" s="13"/>
    </row>
    <row r="210" spans="1:47" ht="16" x14ac:dyDescent="0.25">
      <c r="A210" s="9" t="s">
        <v>70</v>
      </c>
      <c r="B210">
        <v>0</v>
      </c>
      <c r="C210">
        <v>0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0</v>
      </c>
      <c r="O210">
        <v>0</v>
      </c>
      <c r="P210">
        <v>1</v>
      </c>
      <c r="Q210">
        <v>1</v>
      </c>
      <c r="R210">
        <v>0</v>
      </c>
      <c r="S210">
        <v>0</v>
      </c>
      <c r="T210">
        <v>1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0.36551123272317793</v>
      </c>
      <c r="AE210">
        <v>4.7298935409920383E-2</v>
      </c>
      <c r="AF210">
        <v>12.94048750773756</v>
      </c>
      <c r="AH210">
        <f t="shared" si="3"/>
        <v>0.36551123272317793</v>
      </c>
      <c r="AJ210">
        <v>0.37134027481079102</v>
      </c>
      <c r="AK210">
        <v>1.1959120631217899E-2</v>
      </c>
      <c r="AL210" s="13"/>
      <c r="AM210" s="13">
        <v>0.37076565027236902</v>
      </c>
      <c r="AN210">
        <v>5.8918410848403401E-2</v>
      </c>
      <c r="AS210">
        <v>0.39340357575879698</v>
      </c>
      <c r="AU210" s="13"/>
    </row>
    <row r="211" spans="1:47" ht="16" x14ac:dyDescent="0.25">
      <c r="A211" s="9" t="s">
        <v>71</v>
      </c>
      <c r="B211">
        <v>0</v>
      </c>
      <c r="C211">
        <v>0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1</v>
      </c>
      <c r="K211">
        <v>1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1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0.43973677259687582</v>
      </c>
      <c r="AE211">
        <v>5.7828349013787042E-2</v>
      </c>
      <c r="AF211">
        <v>13.150673907092269</v>
      </c>
      <c r="AH211">
        <f t="shared" si="3"/>
        <v>0.43973677259687582</v>
      </c>
      <c r="AJ211">
        <v>0.43342623114585799</v>
      </c>
      <c r="AK211">
        <v>1.2865878641605299E-2</v>
      </c>
      <c r="AL211" s="13"/>
      <c r="AM211" s="13">
        <v>0.42292104363441402</v>
      </c>
      <c r="AN211">
        <v>3.1457175500691201E-2</v>
      </c>
      <c r="AS211">
        <v>0.38548441095187702</v>
      </c>
      <c r="AU211" s="13"/>
    </row>
    <row r="212" spans="1:47" ht="16" x14ac:dyDescent="0.25">
      <c r="A212" s="9" t="s">
        <v>72</v>
      </c>
      <c r="B212">
        <v>0</v>
      </c>
      <c r="C212">
        <v>0</v>
      </c>
      <c r="D212">
        <v>1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1</v>
      </c>
      <c r="K212">
        <v>1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1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0.48816324580052972</v>
      </c>
      <c r="AE212">
        <v>8.6987900905289503E-3</v>
      </c>
      <c r="AF212">
        <v>1.781942857304623</v>
      </c>
      <c r="AH212">
        <f t="shared" si="3"/>
        <v>0.48816324580052972</v>
      </c>
      <c r="AJ212">
        <v>0.47693410515785201</v>
      </c>
      <c r="AK212">
        <v>8.3555886521935394E-3</v>
      </c>
      <c r="AL212" s="13"/>
      <c r="AM212" s="13">
        <v>0.48418957591056799</v>
      </c>
      <c r="AN212">
        <v>2.7546212171160499E-2</v>
      </c>
      <c r="AS212">
        <v>0.40429724762750802</v>
      </c>
      <c r="AU212" s="13"/>
    </row>
    <row r="213" spans="1:47" ht="16" x14ac:dyDescent="0.25">
      <c r="A213" s="9" t="s">
        <v>73</v>
      </c>
      <c r="B213">
        <v>0</v>
      </c>
      <c r="C213">
        <v>0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1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0.44685229297709211</v>
      </c>
      <c r="AE213">
        <v>3.0496499881497049E-2</v>
      </c>
      <c r="AF213">
        <v>6.8247383667471642</v>
      </c>
      <c r="AH213">
        <f t="shared" si="3"/>
        <v>0.44685229297709211</v>
      </c>
      <c r="AJ213">
        <v>0.44896730780601501</v>
      </c>
      <c r="AK213">
        <v>9.8691564053297008E-3</v>
      </c>
      <c r="AL213" s="13"/>
      <c r="AM213" s="13">
        <v>0.44946549534797597</v>
      </c>
      <c r="AN213">
        <v>1.50869286062928E-2</v>
      </c>
      <c r="AS213">
        <v>0.38048273171510999</v>
      </c>
      <c r="AU213" s="13"/>
    </row>
    <row r="214" spans="1:47" ht="16" x14ac:dyDescent="0.25">
      <c r="A214" s="9" t="s">
        <v>74</v>
      </c>
      <c r="B214">
        <v>0</v>
      </c>
      <c r="C214">
        <v>0</v>
      </c>
      <c r="D214">
        <v>1</v>
      </c>
      <c r="E214">
        <v>1</v>
      </c>
      <c r="F214">
        <v>0</v>
      </c>
      <c r="G214">
        <v>1</v>
      </c>
      <c r="H214">
        <v>1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0.40618778947019463</v>
      </c>
      <c r="AE214">
        <v>2.4473382732565632E-2</v>
      </c>
      <c r="AF214">
        <v>6.0251399394568574</v>
      </c>
      <c r="AH214">
        <f t="shared" si="3"/>
        <v>0.40618778947019463</v>
      </c>
      <c r="AJ214">
        <v>0.39717712998390198</v>
      </c>
      <c r="AK214">
        <v>5.29063725844025E-3</v>
      </c>
      <c r="AL214" s="13"/>
      <c r="AM214" s="13">
        <v>0.38446494936942999</v>
      </c>
      <c r="AN214">
        <v>3.2314708928795302E-2</v>
      </c>
      <c r="AS214">
        <v>0.41828355675413997</v>
      </c>
      <c r="AU214" s="13"/>
    </row>
    <row r="215" spans="1:47" ht="16" x14ac:dyDescent="0.25">
      <c r="A215" s="9" t="s">
        <v>75</v>
      </c>
      <c r="B215">
        <v>0</v>
      </c>
      <c r="C215">
        <v>0</v>
      </c>
      <c r="D215">
        <v>1</v>
      </c>
      <c r="E215">
        <v>1</v>
      </c>
      <c r="F215">
        <v>0</v>
      </c>
      <c r="G215">
        <v>1</v>
      </c>
      <c r="H215">
        <v>1</v>
      </c>
      <c r="I215">
        <v>0</v>
      </c>
      <c r="J215">
        <v>1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0.33050519273884932</v>
      </c>
      <c r="AE215">
        <v>1.0064982028219789E-2</v>
      </c>
      <c r="AF215">
        <v>3.0453324938143091</v>
      </c>
      <c r="AH215">
        <f t="shared" si="3"/>
        <v>0.33050519273884932</v>
      </c>
      <c r="AJ215">
        <v>0.360258549451828</v>
      </c>
      <c r="AK215">
        <v>2.4768413975834801E-2</v>
      </c>
      <c r="AL215" s="13"/>
      <c r="AM215" s="13">
        <v>0.391960614919662</v>
      </c>
      <c r="AN215">
        <v>8.59803085529574E-3</v>
      </c>
      <c r="AS215">
        <v>0.333383548643923</v>
      </c>
      <c r="AU215" s="13"/>
    </row>
    <row r="216" spans="1:47" ht="16" x14ac:dyDescent="0.25">
      <c r="A216" s="9" t="s">
        <v>76</v>
      </c>
      <c r="B216">
        <v>0</v>
      </c>
      <c r="C216">
        <v>0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1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1</v>
      </c>
      <c r="V216">
        <v>0</v>
      </c>
      <c r="W216">
        <v>0</v>
      </c>
      <c r="X216">
        <v>0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0.50224020371841638</v>
      </c>
      <c r="AE216">
        <v>4.8001454944511879E-3</v>
      </c>
      <c r="AF216">
        <v>0.95574696308908291</v>
      </c>
      <c r="AH216">
        <f t="shared" si="3"/>
        <v>0.50224020371841638</v>
      </c>
      <c r="AJ216">
        <v>0.47430360317230202</v>
      </c>
      <c r="AK216">
        <v>1.45689425989985E-2</v>
      </c>
      <c r="AL216" s="13"/>
      <c r="AM216" s="13">
        <v>0.39365569949149998</v>
      </c>
      <c r="AN216">
        <v>4.1742358403497097E-2</v>
      </c>
      <c r="AS216">
        <v>0.511810584236706</v>
      </c>
      <c r="AU216" s="13"/>
    </row>
    <row r="217" spans="1:47" ht="16" x14ac:dyDescent="0.25">
      <c r="A217" s="9" t="s">
        <v>77</v>
      </c>
      <c r="B217">
        <v>0</v>
      </c>
      <c r="C217">
        <v>0</v>
      </c>
      <c r="D217">
        <v>1</v>
      </c>
      <c r="E217">
        <v>1</v>
      </c>
      <c r="F217">
        <v>0</v>
      </c>
      <c r="G217">
        <v>1</v>
      </c>
      <c r="H217">
        <v>1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1</v>
      </c>
      <c r="V217">
        <v>0</v>
      </c>
      <c r="W217">
        <v>0</v>
      </c>
      <c r="X217">
        <v>0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0.30658490851062598</v>
      </c>
      <c r="AE217">
        <v>1.332244245154578E-2</v>
      </c>
      <c r="AF217">
        <v>4.3454332166138032</v>
      </c>
      <c r="AH217">
        <f t="shared" si="3"/>
        <v>0.30658490851062598</v>
      </c>
      <c r="AJ217">
        <v>0.32267081737518299</v>
      </c>
      <c r="AK217">
        <v>1.8824724480509699E-2</v>
      </c>
      <c r="AL217" s="13"/>
      <c r="AM217" s="13">
        <v>0.40715640783309898</v>
      </c>
      <c r="AN217">
        <v>8.5771391019865799E-3</v>
      </c>
      <c r="AS217">
        <v>0.57606846686062496</v>
      </c>
      <c r="AU217" s="13"/>
    </row>
    <row r="218" spans="1:47" ht="16" x14ac:dyDescent="0.25">
      <c r="A218" s="9" t="s">
        <v>78</v>
      </c>
      <c r="B218">
        <v>0</v>
      </c>
      <c r="C218">
        <v>0</v>
      </c>
      <c r="D218">
        <v>1</v>
      </c>
      <c r="E218">
        <v>1</v>
      </c>
      <c r="F218">
        <v>0</v>
      </c>
      <c r="G218">
        <v>1</v>
      </c>
      <c r="H218">
        <v>1</v>
      </c>
      <c r="I218">
        <v>0</v>
      </c>
      <c r="J218">
        <v>1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0.36502321751922279</v>
      </c>
      <c r="AE218">
        <v>1.1695610224717899E-2</v>
      </c>
      <c r="AF218">
        <v>3.204072963962076</v>
      </c>
      <c r="AH218">
        <f t="shared" si="3"/>
        <v>0.36502321751922279</v>
      </c>
      <c r="AJ218">
        <v>0.37541243433952298</v>
      </c>
      <c r="AK218">
        <v>9.3436604365706392E-3</v>
      </c>
      <c r="AL218" s="13"/>
      <c r="AM218" s="13">
        <v>0.34638189077377302</v>
      </c>
      <c r="AN218">
        <v>2.7558387964115898E-2</v>
      </c>
      <c r="AS218">
        <v>0.50902691378951903</v>
      </c>
      <c r="AU218" s="13"/>
    </row>
    <row r="219" spans="1:47" ht="16" x14ac:dyDescent="0.25">
      <c r="A219" s="9" t="s">
        <v>79</v>
      </c>
      <c r="B219">
        <v>0</v>
      </c>
      <c r="C219">
        <v>0</v>
      </c>
      <c r="D219">
        <v>1</v>
      </c>
      <c r="E219">
        <v>1</v>
      </c>
      <c r="F219">
        <v>0</v>
      </c>
      <c r="G219">
        <v>1</v>
      </c>
      <c r="H219">
        <v>1</v>
      </c>
      <c r="I219">
        <v>0</v>
      </c>
      <c r="J219">
        <v>0</v>
      </c>
      <c r="K219">
        <v>0</v>
      </c>
      <c r="L219">
        <v>1</v>
      </c>
      <c r="M219">
        <v>1</v>
      </c>
      <c r="N219">
        <v>0</v>
      </c>
      <c r="O219">
        <v>0</v>
      </c>
      <c r="P219">
        <v>1</v>
      </c>
      <c r="Q219">
        <v>0</v>
      </c>
      <c r="R219">
        <v>1</v>
      </c>
      <c r="S219">
        <v>0</v>
      </c>
      <c r="T219">
        <v>1</v>
      </c>
      <c r="U219">
        <v>1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0.50955763247133812</v>
      </c>
      <c r="AE219">
        <v>4.74797710305657E-2</v>
      </c>
      <c r="AF219">
        <v>9.3178412028273119</v>
      </c>
      <c r="AH219">
        <f t="shared" si="3"/>
        <v>0.50955763247133812</v>
      </c>
      <c r="AJ219">
        <v>0.47374185919761602</v>
      </c>
      <c r="AK219">
        <v>2.8754180297255499E-2</v>
      </c>
      <c r="AL219" s="13"/>
      <c r="AM219" s="13">
        <v>0.34882603287696801</v>
      </c>
      <c r="AN219">
        <v>2.0121393712949302E-2</v>
      </c>
      <c r="AS219">
        <v>0.434421304501593</v>
      </c>
      <c r="AU219" s="13"/>
    </row>
    <row r="220" spans="1:47" ht="16" x14ac:dyDescent="0.25">
      <c r="A220" s="9" t="s">
        <v>81</v>
      </c>
      <c r="B220">
        <v>0</v>
      </c>
      <c r="C220">
        <v>0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1</v>
      </c>
      <c r="O220">
        <v>1</v>
      </c>
      <c r="P220">
        <v>0</v>
      </c>
      <c r="Q220">
        <v>0</v>
      </c>
      <c r="R220">
        <v>0</v>
      </c>
      <c r="S220">
        <v>1</v>
      </c>
      <c r="T220">
        <v>1</v>
      </c>
      <c r="U220">
        <v>1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0.48164578642127798</v>
      </c>
      <c r="AE220">
        <v>1.113608703623724E-2</v>
      </c>
      <c r="AF220">
        <v>2.3120906172522631</v>
      </c>
      <c r="AH220">
        <f t="shared" si="3"/>
        <v>0.48164578642127798</v>
      </c>
      <c r="AJ220">
        <v>0.46508812904357899</v>
      </c>
      <c r="AK220">
        <v>2.6124730706214901E-2</v>
      </c>
      <c r="AL220" s="13"/>
      <c r="AM220" s="13">
        <v>0.50571523308753896</v>
      </c>
      <c r="AN220">
        <v>2.5450378936768998E-2</v>
      </c>
      <c r="AS220">
        <v>0.43336896022679</v>
      </c>
      <c r="AU220" s="13"/>
    </row>
    <row r="221" spans="1:47" ht="16" x14ac:dyDescent="0.25">
      <c r="A221" s="9" t="s">
        <v>82</v>
      </c>
      <c r="B221">
        <v>0</v>
      </c>
      <c r="C221">
        <v>0</v>
      </c>
      <c r="D221">
        <v>1</v>
      </c>
      <c r="E221">
        <v>1</v>
      </c>
      <c r="F221">
        <v>0</v>
      </c>
      <c r="G221">
        <v>1</v>
      </c>
      <c r="H221">
        <v>1</v>
      </c>
      <c r="I221">
        <v>0</v>
      </c>
      <c r="J221">
        <v>1</v>
      </c>
      <c r="K221">
        <v>1</v>
      </c>
      <c r="L221">
        <v>0</v>
      </c>
      <c r="M221">
        <v>1</v>
      </c>
      <c r="N221">
        <v>0</v>
      </c>
      <c r="O221">
        <v>0</v>
      </c>
      <c r="P221">
        <v>1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1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0.37695151139042921</v>
      </c>
      <c r="AE221">
        <v>1.69596309473302E-2</v>
      </c>
      <c r="AF221">
        <v>4.4991545158613748</v>
      </c>
      <c r="AH221">
        <f t="shared" si="3"/>
        <v>0.37695151139042921</v>
      </c>
      <c r="AJ221">
        <v>0.38983622193336398</v>
      </c>
      <c r="AK221">
        <v>6.5479376353323399E-3</v>
      </c>
      <c r="AL221" s="13"/>
      <c r="AM221" s="13">
        <v>0.40875763297080903</v>
      </c>
      <c r="AN221">
        <v>3.1311042776728998E-2</v>
      </c>
      <c r="AS221">
        <v>0.35288255864810802</v>
      </c>
      <c r="AU221" s="13"/>
    </row>
    <row r="222" spans="1:47" ht="16" x14ac:dyDescent="0.25">
      <c r="A222" s="9" t="s">
        <v>83</v>
      </c>
      <c r="B222">
        <v>0</v>
      </c>
      <c r="C222">
        <v>0</v>
      </c>
      <c r="D222">
        <v>1</v>
      </c>
      <c r="E222">
        <v>1</v>
      </c>
      <c r="F222">
        <v>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0</v>
      </c>
      <c r="M222">
        <v>1</v>
      </c>
      <c r="N222">
        <v>0</v>
      </c>
      <c r="O222">
        <v>0</v>
      </c>
      <c r="P222">
        <v>1</v>
      </c>
      <c r="Q222">
        <v>1</v>
      </c>
      <c r="R222">
        <v>1</v>
      </c>
      <c r="S222">
        <v>0</v>
      </c>
      <c r="T222">
        <v>0</v>
      </c>
      <c r="U222">
        <v>0</v>
      </c>
      <c r="V222">
        <v>1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0.55480186261004749</v>
      </c>
      <c r="AE222">
        <v>2.2845418260648349E-2</v>
      </c>
      <c r="AF222">
        <v>4.117761637131645</v>
      </c>
      <c r="AH222">
        <f t="shared" si="3"/>
        <v>0.55480186261004749</v>
      </c>
      <c r="AJ222">
        <v>0.52045029401779097</v>
      </c>
      <c r="AK222">
        <v>9.0088685974478704E-3</v>
      </c>
      <c r="AL222" s="13"/>
      <c r="AM222" s="13">
        <v>0.40486536026000902</v>
      </c>
      <c r="AN222">
        <v>4.3608591702206899E-3</v>
      </c>
      <c r="AS222">
        <v>0.35720014345580198</v>
      </c>
      <c r="AU222" s="13"/>
    </row>
    <row r="223" spans="1:47" ht="16" x14ac:dyDescent="0.25">
      <c r="A223" s="9" t="s">
        <v>84</v>
      </c>
      <c r="B223">
        <v>0</v>
      </c>
      <c r="C223">
        <v>0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0</v>
      </c>
      <c r="J223">
        <v>1</v>
      </c>
      <c r="K223">
        <v>1</v>
      </c>
      <c r="L223">
        <v>0</v>
      </c>
      <c r="M223">
        <v>0</v>
      </c>
      <c r="N223">
        <v>1</v>
      </c>
      <c r="O223">
        <v>1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0.37299087639744272</v>
      </c>
      <c r="AE223">
        <v>1.5464271200114829E-2</v>
      </c>
      <c r="AF223">
        <v>4.1460186236932994</v>
      </c>
      <c r="AH223">
        <f t="shared" si="3"/>
        <v>0.37299087639744272</v>
      </c>
      <c r="AJ223">
        <v>0.39036408066749501</v>
      </c>
      <c r="AK223">
        <v>5.8946693316102002E-3</v>
      </c>
      <c r="AL223" s="13"/>
      <c r="AM223" s="13">
        <v>0.44237300157546999</v>
      </c>
      <c r="AN223">
        <v>3.5867976339669497E-2</v>
      </c>
      <c r="AS223">
        <v>0.34722484777297402</v>
      </c>
      <c r="AU223" s="13"/>
    </row>
    <row r="224" spans="1:47" ht="16" x14ac:dyDescent="0.25">
      <c r="A224" s="9">
        <v>12</v>
      </c>
      <c r="B224">
        <v>0</v>
      </c>
      <c r="C224">
        <v>0</v>
      </c>
      <c r="D224">
        <v>0</v>
      </c>
      <c r="E224">
        <v>1</v>
      </c>
      <c r="F224">
        <v>1</v>
      </c>
      <c r="G224">
        <v>1</v>
      </c>
      <c r="H224">
        <v>1</v>
      </c>
      <c r="I224">
        <v>0</v>
      </c>
      <c r="J224">
        <v>1</v>
      </c>
      <c r="K224">
        <v>1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1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0.16134567490005369</v>
      </c>
      <c r="AE224">
        <v>1.7885523533009779E-2</v>
      </c>
      <c r="AF224">
        <v>11.08522031600106</v>
      </c>
      <c r="AH224">
        <f t="shared" si="3"/>
        <v>0.16134567490005369</v>
      </c>
      <c r="AJ224">
        <v>0.171278581023216</v>
      </c>
      <c r="AK224">
        <v>3.8680907338857602E-2</v>
      </c>
      <c r="AL224" s="13"/>
      <c r="AM224" s="13">
        <v>0.25688325166702197</v>
      </c>
      <c r="AN224">
        <v>5.2650597068645097E-2</v>
      </c>
      <c r="AS224">
        <v>0.45613061071494099</v>
      </c>
      <c r="AU224" s="13"/>
    </row>
    <row r="225" spans="1:47" ht="16" x14ac:dyDescent="0.25">
      <c r="A225" s="9">
        <v>13</v>
      </c>
      <c r="B225">
        <v>0</v>
      </c>
      <c r="C225">
        <v>0</v>
      </c>
      <c r="D225">
        <v>0</v>
      </c>
      <c r="E225">
        <v>1</v>
      </c>
      <c r="F225">
        <v>1</v>
      </c>
      <c r="G225">
        <v>1</v>
      </c>
      <c r="H225">
        <v>1</v>
      </c>
      <c r="I225">
        <v>0</v>
      </c>
      <c r="J225">
        <v>1</v>
      </c>
      <c r="K225">
        <v>1</v>
      </c>
      <c r="L225">
        <v>1</v>
      </c>
      <c r="M225">
        <v>0</v>
      </c>
      <c r="N225">
        <v>1</v>
      </c>
      <c r="O225">
        <v>1</v>
      </c>
      <c r="P225">
        <v>0</v>
      </c>
      <c r="Q225">
        <v>0</v>
      </c>
      <c r="R225">
        <v>0</v>
      </c>
      <c r="S225">
        <v>1</v>
      </c>
      <c r="T225">
        <v>1</v>
      </c>
      <c r="U225">
        <v>1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0.51609880928158169</v>
      </c>
      <c r="AE225">
        <v>9.6892921738277182E-3</v>
      </c>
      <c r="AF225">
        <v>1.877410294225514</v>
      </c>
      <c r="AH225">
        <f t="shared" si="3"/>
        <v>0.51609880928158169</v>
      </c>
      <c r="AJ225">
        <v>0.50689196586608798</v>
      </c>
      <c r="AK225">
        <v>5.7880007661879002E-3</v>
      </c>
      <c r="AL225" s="13"/>
      <c r="AM225" s="13">
        <v>0.51466284990310596</v>
      </c>
      <c r="AN225">
        <v>2.3914092678208199E-2</v>
      </c>
      <c r="AS225">
        <v>0.45989076665334899</v>
      </c>
      <c r="AU225" s="13"/>
    </row>
    <row r="226" spans="1:47" ht="16" x14ac:dyDescent="0.25">
      <c r="A226" s="9">
        <v>14</v>
      </c>
      <c r="B226">
        <v>0</v>
      </c>
      <c r="C226">
        <v>0</v>
      </c>
      <c r="D226">
        <v>0</v>
      </c>
      <c r="E226">
        <v>1</v>
      </c>
      <c r="F226">
        <v>1</v>
      </c>
      <c r="G226">
        <v>1</v>
      </c>
      <c r="H226">
        <v>1</v>
      </c>
      <c r="I226">
        <v>0</v>
      </c>
      <c r="J226">
        <v>1</v>
      </c>
      <c r="K226">
        <v>1</v>
      </c>
      <c r="L226">
        <v>1</v>
      </c>
      <c r="M226">
        <v>0</v>
      </c>
      <c r="N226">
        <v>1</v>
      </c>
      <c r="O226">
        <v>1</v>
      </c>
      <c r="P226">
        <v>1</v>
      </c>
      <c r="Q226">
        <v>0</v>
      </c>
      <c r="R226">
        <v>0</v>
      </c>
      <c r="S226">
        <v>1</v>
      </c>
      <c r="T226">
        <v>1</v>
      </c>
      <c r="U226">
        <v>1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0.52443782631879821</v>
      </c>
      <c r="AE226">
        <v>1.2647578465889301E-2</v>
      </c>
      <c r="AF226">
        <v>2.4116449712765422</v>
      </c>
      <c r="AH226">
        <f t="shared" si="3"/>
        <v>0.52443782631879821</v>
      </c>
      <c r="AJ226">
        <v>0.49884358048438998</v>
      </c>
      <c r="AK226">
        <v>1.9896109588444198E-3</v>
      </c>
      <c r="AL226" s="13"/>
      <c r="AM226" s="13">
        <v>0.46254602074623102</v>
      </c>
      <c r="AN226">
        <v>2.6126393119732201E-2</v>
      </c>
      <c r="AS226">
        <v>0.46238265825909602</v>
      </c>
      <c r="AU226" s="13"/>
    </row>
    <row r="227" spans="1:47" ht="16" x14ac:dyDescent="0.25">
      <c r="A227" s="9">
        <v>15</v>
      </c>
      <c r="B227">
        <v>0</v>
      </c>
      <c r="C227">
        <v>0</v>
      </c>
      <c r="D227">
        <v>0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0</v>
      </c>
      <c r="N227">
        <v>1</v>
      </c>
      <c r="O227">
        <v>1</v>
      </c>
      <c r="P227">
        <v>1</v>
      </c>
      <c r="Q227">
        <v>1</v>
      </c>
      <c r="R227">
        <v>0</v>
      </c>
      <c r="S227">
        <v>1</v>
      </c>
      <c r="T227">
        <v>1</v>
      </c>
      <c r="U227">
        <v>1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0.58560751448712522</v>
      </c>
      <c r="AE227">
        <v>5.0158482010055343E-2</v>
      </c>
      <c r="AF227">
        <v>8.5652046411979725</v>
      </c>
      <c r="AH227">
        <f t="shared" si="3"/>
        <v>0.58560751448712522</v>
      </c>
      <c r="AJ227">
        <v>0.571863412857055</v>
      </c>
      <c r="AK227">
        <v>6.4208707772195296E-3</v>
      </c>
      <c r="AL227" s="13"/>
      <c r="AM227" s="13">
        <v>0.55535434484481805</v>
      </c>
      <c r="AN227">
        <v>3.0477637699076798E-2</v>
      </c>
      <c r="AS227">
        <v>0.46654010917316202</v>
      </c>
      <c r="AU227" s="13"/>
    </row>
    <row r="228" spans="1:47" ht="16" x14ac:dyDescent="0.25">
      <c r="A228" s="9">
        <v>16</v>
      </c>
      <c r="B228">
        <v>0</v>
      </c>
      <c r="C228">
        <v>0</v>
      </c>
      <c r="D228">
        <v>0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0</v>
      </c>
      <c r="S228">
        <v>1</v>
      </c>
      <c r="T228">
        <v>1</v>
      </c>
      <c r="U228">
        <v>1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0.46548953757131678</v>
      </c>
      <c r="AE228">
        <v>7.9809867064142472E-3</v>
      </c>
      <c r="AF228">
        <v>1.7145362166580369</v>
      </c>
      <c r="AH228">
        <f t="shared" si="3"/>
        <v>0.46548953757131678</v>
      </c>
      <c r="AJ228">
        <v>0.50631380081176702</v>
      </c>
      <c r="AK228">
        <v>2.36894208937883E-2</v>
      </c>
      <c r="AL228" s="13"/>
      <c r="AM228" s="13">
        <v>0.56638822555541901</v>
      </c>
      <c r="AN228">
        <v>3.5963863096153598E-2</v>
      </c>
      <c r="AS228">
        <v>0.47043461265455</v>
      </c>
      <c r="AU228" s="13"/>
    </row>
    <row r="229" spans="1:47" ht="16" x14ac:dyDescent="0.25">
      <c r="A229" s="9">
        <v>17</v>
      </c>
      <c r="B229">
        <v>0</v>
      </c>
      <c r="C229">
        <v>0</v>
      </c>
      <c r="D229">
        <v>0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0.60038047094926505</v>
      </c>
      <c r="AE229">
        <v>8.3627670827392201E-3</v>
      </c>
      <c r="AF229">
        <v>1.3929112433515369</v>
      </c>
      <c r="AH229">
        <f t="shared" si="3"/>
        <v>0.60038047094926505</v>
      </c>
      <c r="AJ229">
        <v>0.60244745016098</v>
      </c>
      <c r="AK229">
        <v>2.4921573698520601E-2</v>
      </c>
      <c r="AL229" s="13"/>
      <c r="AM229" s="13">
        <v>0.63131717443466095</v>
      </c>
      <c r="AN229">
        <v>2.3240476860972002E-2</v>
      </c>
      <c r="AS229">
        <v>0.481054937408737</v>
      </c>
      <c r="AU229" s="13"/>
    </row>
    <row r="230" spans="1:47" ht="16" x14ac:dyDescent="0.25">
      <c r="A230" s="9">
        <v>19</v>
      </c>
      <c r="B230">
        <v>0</v>
      </c>
      <c r="C230">
        <v>0</v>
      </c>
      <c r="D230">
        <v>0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0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0</v>
      </c>
      <c r="U230">
        <v>0</v>
      </c>
      <c r="V230">
        <v>1</v>
      </c>
      <c r="W230">
        <v>1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0.1707845273051608</v>
      </c>
      <c r="AE230">
        <v>4.1372348498160526E-3</v>
      </c>
      <c r="AF230">
        <v>2.4224880995358369</v>
      </c>
      <c r="AH230">
        <f t="shared" si="3"/>
        <v>0.1707845273051608</v>
      </c>
      <c r="AJ230">
        <v>0.205364480614662</v>
      </c>
      <c r="AK230">
        <v>9.1524748131632805E-3</v>
      </c>
      <c r="AL230" s="13"/>
      <c r="AM230" s="13">
        <v>0.29715633690357202</v>
      </c>
      <c r="AN230">
        <v>4.7202351669259901E-2</v>
      </c>
      <c r="AS230">
        <v>0.36618394078416899</v>
      </c>
      <c r="AU230" s="13"/>
    </row>
    <row r="231" spans="1:47" ht="16" x14ac:dyDescent="0.25">
      <c r="A231" s="9">
        <v>20</v>
      </c>
      <c r="B231">
        <v>0</v>
      </c>
      <c r="C231">
        <v>0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0.60263422497734676</v>
      </c>
      <c r="AE231">
        <v>9.804417129259918E-3</v>
      </c>
      <c r="AF231">
        <v>1.6269267032798329</v>
      </c>
      <c r="AH231">
        <f t="shared" si="3"/>
        <v>0.60263422497734676</v>
      </c>
      <c r="AJ231">
        <v>0.59491443634033203</v>
      </c>
      <c r="AK231">
        <v>1.7915660515427499E-2</v>
      </c>
      <c r="AL231" s="13"/>
      <c r="AM231" s="13">
        <v>0.62523682117462098</v>
      </c>
      <c r="AN231">
        <v>3.7473657983237402E-2</v>
      </c>
      <c r="AS231">
        <v>0.43524773444314302</v>
      </c>
      <c r="AU231" s="13"/>
    </row>
    <row r="232" spans="1:47" ht="16" x14ac:dyDescent="0.25">
      <c r="A232" s="9">
        <v>21</v>
      </c>
      <c r="B232">
        <v>0</v>
      </c>
      <c r="C232">
        <v>0</v>
      </c>
      <c r="D232">
        <v>0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0</v>
      </c>
      <c r="K232">
        <v>0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0.56664250739446853</v>
      </c>
      <c r="AE232">
        <v>5.7041708547224436E-3</v>
      </c>
      <c r="AF232">
        <v>1.0066613041353569</v>
      </c>
      <c r="AH232">
        <f t="shared" si="3"/>
        <v>0.56664250739446853</v>
      </c>
      <c r="AJ232">
        <v>0.53854048252105702</v>
      </c>
      <c r="AK232">
        <v>1.6265660524368199E-2</v>
      </c>
      <c r="AL232" s="13"/>
      <c r="AM232" s="13">
        <v>0.52517794370651205</v>
      </c>
      <c r="AN232">
        <v>5.0170163785718203E-2</v>
      </c>
      <c r="AS232">
        <v>0.46114322093443899</v>
      </c>
      <c r="AU232" s="13"/>
    </row>
    <row r="233" spans="1:47" ht="16" x14ac:dyDescent="0.25">
      <c r="A233" s="9">
        <v>22</v>
      </c>
      <c r="B233">
        <v>0</v>
      </c>
      <c r="C233">
        <v>0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0.5542982037059212</v>
      </c>
      <c r="AE233">
        <v>1.0547354311653699E-2</v>
      </c>
      <c r="AF233">
        <v>1.902830325109536</v>
      </c>
      <c r="AH233">
        <f t="shared" si="3"/>
        <v>0.5542982037059212</v>
      </c>
      <c r="AJ233">
        <v>0.55385726690292303</v>
      </c>
      <c r="AK233">
        <v>7.73594947531819E-3</v>
      </c>
      <c r="AL233" s="13"/>
      <c r="AM233" s="13">
        <v>0.54158258438110296</v>
      </c>
      <c r="AN233">
        <v>3.10672881606819E-2</v>
      </c>
      <c r="AS233">
        <v>0.35598590443685002</v>
      </c>
      <c r="AU233" s="13"/>
    </row>
    <row r="234" spans="1:47" ht="16" x14ac:dyDescent="0.25">
      <c r="A234" s="9">
        <v>29</v>
      </c>
      <c r="B234">
        <v>0</v>
      </c>
      <c r="C234">
        <v>0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1</v>
      </c>
      <c r="K234">
        <v>1</v>
      </c>
      <c r="L234">
        <v>1</v>
      </c>
      <c r="M234">
        <v>0</v>
      </c>
      <c r="N234">
        <v>1</v>
      </c>
      <c r="O234">
        <v>1</v>
      </c>
      <c r="P234">
        <v>1</v>
      </c>
      <c r="Q234">
        <v>0</v>
      </c>
      <c r="R234">
        <v>0</v>
      </c>
      <c r="S234">
        <v>1</v>
      </c>
      <c r="T234">
        <v>1</v>
      </c>
      <c r="U234">
        <v>1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0.47688878290500009</v>
      </c>
      <c r="AE234">
        <v>8.0344778856528097E-3</v>
      </c>
      <c r="AF234">
        <v>1.684769735347988</v>
      </c>
      <c r="AH234">
        <f t="shared" si="3"/>
        <v>0.47688878290500009</v>
      </c>
      <c r="AJ234">
        <v>0.51426690816879195</v>
      </c>
      <c r="AK234">
        <v>1.38072408735752E-2</v>
      </c>
      <c r="AL234" s="13"/>
      <c r="AM234" s="13">
        <v>0.54399777650833103</v>
      </c>
      <c r="AN234">
        <v>2.40275903806377E-2</v>
      </c>
      <c r="AS234">
        <v>0.41341094410158802</v>
      </c>
      <c r="AU234" s="13"/>
    </row>
    <row r="235" spans="1:47" ht="16" x14ac:dyDescent="0.25">
      <c r="A235" s="9">
        <v>13</v>
      </c>
      <c r="B235">
        <v>0</v>
      </c>
      <c r="C235">
        <v>0</v>
      </c>
      <c r="D235">
        <v>0</v>
      </c>
      <c r="E235">
        <v>1</v>
      </c>
      <c r="F235">
        <v>1</v>
      </c>
      <c r="G235">
        <v>1</v>
      </c>
      <c r="H235">
        <v>1</v>
      </c>
      <c r="I235">
        <v>0</v>
      </c>
      <c r="J235">
        <v>1</v>
      </c>
      <c r="K235">
        <v>1</v>
      </c>
      <c r="L235">
        <v>1</v>
      </c>
      <c r="M235">
        <v>0</v>
      </c>
      <c r="N235">
        <v>1</v>
      </c>
      <c r="O235">
        <v>1</v>
      </c>
      <c r="P235">
        <v>0</v>
      </c>
      <c r="Q235">
        <v>0</v>
      </c>
      <c r="R235">
        <v>0</v>
      </c>
      <c r="S235">
        <v>1</v>
      </c>
      <c r="T235">
        <v>1</v>
      </c>
      <c r="U235">
        <v>1</v>
      </c>
      <c r="V235">
        <v>0</v>
      </c>
      <c r="W235">
        <v>0</v>
      </c>
      <c r="X235">
        <v>1</v>
      </c>
      <c r="Y235">
        <v>1</v>
      </c>
      <c r="Z235">
        <v>1</v>
      </c>
      <c r="AA235">
        <v>0</v>
      </c>
      <c r="AB235">
        <v>0</v>
      </c>
      <c r="AC235">
        <v>0</v>
      </c>
      <c r="AD235">
        <v>0.30035088832481011</v>
      </c>
      <c r="AE235">
        <v>1.1206178661602941E-3</v>
      </c>
      <c r="AF235">
        <v>0.37310289721814238</v>
      </c>
      <c r="AH235">
        <f t="shared" si="3"/>
        <v>0.30035088832481011</v>
      </c>
      <c r="AJ235">
        <v>0.31854274868965099</v>
      </c>
      <c r="AK235">
        <v>4.6592056751251203E-3</v>
      </c>
      <c r="AL235" s="13"/>
      <c r="AM235" s="13">
        <v>0.42225330471992401</v>
      </c>
      <c r="AN235">
        <v>3.2452637287255601E-2</v>
      </c>
      <c r="AS235">
        <v>0.47214723983691598</v>
      </c>
      <c r="AU235" s="13"/>
    </row>
    <row r="236" spans="1:47" ht="16" x14ac:dyDescent="0.25">
      <c r="A236" s="9">
        <v>14</v>
      </c>
      <c r="B236">
        <v>0</v>
      </c>
      <c r="C236">
        <v>0</v>
      </c>
      <c r="D236">
        <v>0</v>
      </c>
      <c r="E236">
        <v>1</v>
      </c>
      <c r="F236">
        <v>1</v>
      </c>
      <c r="G236">
        <v>1</v>
      </c>
      <c r="H236">
        <v>1</v>
      </c>
      <c r="I236">
        <v>0</v>
      </c>
      <c r="J236">
        <v>1</v>
      </c>
      <c r="K236">
        <v>1</v>
      </c>
      <c r="L236">
        <v>1</v>
      </c>
      <c r="M236">
        <v>0</v>
      </c>
      <c r="N236">
        <v>1</v>
      </c>
      <c r="O236">
        <v>1</v>
      </c>
      <c r="P236">
        <v>1</v>
      </c>
      <c r="Q236">
        <v>0</v>
      </c>
      <c r="R236">
        <v>0</v>
      </c>
      <c r="S236">
        <v>1</v>
      </c>
      <c r="T236">
        <v>1</v>
      </c>
      <c r="U236">
        <v>1</v>
      </c>
      <c r="V236">
        <v>0</v>
      </c>
      <c r="W236">
        <v>0</v>
      </c>
      <c r="X236">
        <v>1</v>
      </c>
      <c r="Y236">
        <v>1</v>
      </c>
      <c r="Z236">
        <v>1</v>
      </c>
      <c r="AA236">
        <v>0</v>
      </c>
      <c r="AB236">
        <v>0</v>
      </c>
      <c r="AC236">
        <v>0</v>
      </c>
      <c r="AD236">
        <v>0.36984629833047228</v>
      </c>
      <c r="AE236">
        <v>7.2485518527023287E-3</v>
      </c>
      <c r="AF236">
        <v>1.9598822228106929</v>
      </c>
      <c r="AH236">
        <f t="shared" si="3"/>
        <v>0.36984629833047228</v>
      </c>
      <c r="AJ236">
        <v>0.36983358860015803</v>
      </c>
      <c r="AK236">
        <v>1.3951024971902299E-2</v>
      </c>
      <c r="AL236" s="13"/>
      <c r="AM236" s="13">
        <v>0.36724753379821701</v>
      </c>
      <c r="AN236">
        <v>4.5979815072515799E-2</v>
      </c>
      <c r="AS236">
        <v>0.47477410267257603</v>
      </c>
      <c r="AU236" s="13"/>
    </row>
    <row r="237" spans="1:47" ht="16" x14ac:dyDescent="0.25">
      <c r="A237" s="9">
        <v>15</v>
      </c>
      <c r="B237">
        <v>0</v>
      </c>
      <c r="C237">
        <v>0</v>
      </c>
      <c r="D237">
        <v>0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0</v>
      </c>
      <c r="N237">
        <v>1</v>
      </c>
      <c r="O237">
        <v>1</v>
      </c>
      <c r="P237">
        <v>1</v>
      </c>
      <c r="Q237">
        <v>1</v>
      </c>
      <c r="R237">
        <v>0</v>
      </c>
      <c r="S237">
        <v>1</v>
      </c>
      <c r="T237">
        <v>1</v>
      </c>
      <c r="U237">
        <v>1</v>
      </c>
      <c r="V237">
        <v>0</v>
      </c>
      <c r="W237">
        <v>0</v>
      </c>
      <c r="X237">
        <v>1</v>
      </c>
      <c r="Y237">
        <v>1</v>
      </c>
      <c r="Z237">
        <v>1</v>
      </c>
      <c r="AA237">
        <v>0</v>
      </c>
      <c r="AB237">
        <v>0</v>
      </c>
      <c r="AC237">
        <v>0</v>
      </c>
      <c r="AD237">
        <v>0.54343500890418295</v>
      </c>
      <c r="AE237">
        <v>1.110437647602935E-2</v>
      </c>
      <c r="AF237">
        <v>2.0433678901955399</v>
      </c>
      <c r="AH237">
        <f t="shared" si="3"/>
        <v>0.54343500890418295</v>
      </c>
      <c r="AJ237">
        <v>0.53078365325927701</v>
      </c>
      <c r="AK237">
        <v>2.1982606500387102E-2</v>
      </c>
      <c r="AL237" s="13"/>
      <c r="AM237" s="13">
        <v>0.49007568359374998</v>
      </c>
      <c r="AN237">
        <v>2.38541167271045E-2</v>
      </c>
      <c r="AS237">
        <v>0.47915842786691998</v>
      </c>
      <c r="AU237" s="13"/>
    </row>
    <row r="238" spans="1:47" ht="16" x14ac:dyDescent="0.25">
      <c r="A238" s="9">
        <v>16</v>
      </c>
      <c r="B238">
        <v>0</v>
      </c>
      <c r="C238">
        <v>0</v>
      </c>
      <c r="D238">
        <v>0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0</v>
      </c>
      <c r="S238">
        <v>1</v>
      </c>
      <c r="T238">
        <v>1</v>
      </c>
      <c r="U238">
        <v>1</v>
      </c>
      <c r="V238">
        <v>0</v>
      </c>
      <c r="W238">
        <v>0</v>
      </c>
      <c r="X238">
        <v>1</v>
      </c>
      <c r="Y238">
        <v>1</v>
      </c>
      <c r="Z238">
        <v>1</v>
      </c>
      <c r="AA238">
        <v>0</v>
      </c>
      <c r="AB238">
        <v>0</v>
      </c>
      <c r="AC238">
        <v>0</v>
      </c>
      <c r="AD238">
        <v>0.51617338544320057</v>
      </c>
      <c r="AE238">
        <v>1.973387115321289E-2</v>
      </c>
      <c r="AF238">
        <v>3.8231089997538028</v>
      </c>
      <c r="AH238">
        <f t="shared" si="3"/>
        <v>0.51617338544320057</v>
      </c>
      <c r="AJ238">
        <v>0.53366321325302102</v>
      </c>
      <c r="AK238">
        <v>1.6157865524291899E-2</v>
      </c>
      <c r="AL238" s="13"/>
      <c r="AM238" s="13">
        <v>0.49550661444664001</v>
      </c>
      <c r="AN238">
        <v>3.1347302834292101E-2</v>
      </c>
      <c r="AS238">
        <v>0.48326737401633402</v>
      </c>
      <c r="AU238" s="13"/>
    </row>
    <row r="239" spans="1:47" ht="16" x14ac:dyDescent="0.25">
      <c r="A239" s="9">
        <v>17</v>
      </c>
      <c r="B239">
        <v>0</v>
      </c>
      <c r="C239">
        <v>0</v>
      </c>
      <c r="D239">
        <v>0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0</v>
      </c>
      <c r="AB239">
        <v>0</v>
      </c>
      <c r="AC239">
        <v>0</v>
      </c>
      <c r="AD239">
        <v>0.46638163584106163</v>
      </c>
      <c r="AE239">
        <v>8.627212189699144E-3</v>
      </c>
      <c r="AF239">
        <v>1.849818158929228</v>
      </c>
      <c r="AH239">
        <f t="shared" si="3"/>
        <v>0.46638163584106163</v>
      </c>
      <c r="AJ239">
        <v>0.48974779248237599</v>
      </c>
      <c r="AK239">
        <v>9.9306143820285797E-3</v>
      </c>
      <c r="AL239" s="13"/>
      <c r="AM239" s="13">
        <v>0.51153683066368105</v>
      </c>
      <c r="AN239">
        <v>3.3090444952835703E-2</v>
      </c>
      <c r="AS239">
        <v>0.49448192131912599</v>
      </c>
      <c r="AU239" s="13"/>
    </row>
    <row r="240" spans="1:47" ht="16" x14ac:dyDescent="0.25">
      <c r="A240" s="9">
        <v>19</v>
      </c>
      <c r="B240">
        <v>0</v>
      </c>
      <c r="C240">
        <v>0</v>
      </c>
      <c r="D240">
        <v>0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0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0</v>
      </c>
      <c r="U240">
        <v>0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0</v>
      </c>
      <c r="AB240">
        <v>0</v>
      </c>
      <c r="AC240">
        <v>0</v>
      </c>
      <c r="AD240">
        <v>0.13529376045531091</v>
      </c>
      <c r="AE240">
        <v>3.475350910985729E-3</v>
      </c>
      <c r="AF240">
        <v>2.568744411634325</v>
      </c>
      <c r="AH240">
        <f t="shared" si="3"/>
        <v>0.13529376045531091</v>
      </c>
      <c r="AJ240">
        <v>0.18072666227817499</v>
      </c>
      <c r="AK240">
        <v>1.3907789252698401E-2</v>
      </c>
      <c r="AL240" s="13"/>
      <c r="AM240" s="13">
        <v>0.19203934371471401</v>
      </c>
      <c r="AN240">
        <v>0.121801508809493</v>
      </c>
      <c r="AS240">
        <v>0.37823609852791601</v>
      </c>
      <c r="AU240" s="13"/>
    </row>
    <row r="241" spans="1:47" ht="16" x14ac:dyDescent="0.25">
      <c r="A241" s="9">
        <v>20</v>
      </c>
      <c r="B241">
        <v>0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0</v>
      </c>
      <c r="AB241">
        <v>0</v>
      </c>
      <c r="AC241">
        <v>0</v>
      </c>
      <c r="AD241">
        <v>0.44369822448293289</v>
      </c>
      <c r="AE241">
        <v>1.2000120284374071E-2</v>
      </c>
      <c r="AF241">
        <v>2.7045680199325801</v>
      </c>
      <c r="AH241">
        <f t="shared" si="3"/>
        <v>0.44369822448293289</v>
      </c>
      <c r="AJ241">
        <v>0.479339689016342</v>
      </c>
      <c r="AK241">
        <v>8.0493437126278808E-3</v>
      </c>
      <c r="AL241" s="13"/>
      <c r="AM241" s="13">
        <v>0.51872470378875701</v>
      </c>
      <c r="AN241">
        <v>3.8613635388708802E-2</v>
      </c>
      <c r="AS241">
        <v>0.45232428622958698</v>
      </c>
      <c r="AU241" s="13"/>
    </row>
    <row r="242" spans="1:47" ht="16" x14ac:dyDescent="0.25">
      <c r="A242" s="9">
        <v>21</v>
      </c>
      <c r="B242">
        <v>0</v>
      </c>
      <c r="C242">
        <v>0</v>
      </c>
      <c r="D242">
        <v>0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0</v>
      </c>
      <c r="K242">
        <v>0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0</v>
      </c>
      <c r="AB242">
        <v>0</v>
      </c>
      <c r="AC242">
        <v>0</v>
      </c>
      <c r="AD242">
        <v>0.3103873979250672</v>
      </c>
      <c r="AE242">
        <v>1.0859443940033501E-2</v>
      </c>
      <c r="AF242">
        <v>3.4986742414893901</v>
      </c>
      <c r="AH242">
        <f t="shared" si="3"/>
        <v>0.3103873979250672</v>
      </c>
      <c r="AJ242">
        <v>0.35393992066383301</v>
      </c>
      <c r="AK242">
        <v>1.51712810620665E-2</v>
      </c>
      <c r="AL242" s="13"/>
      <c r="AM242" s="13">
        <v>0.46818783879280002</v>
      </c>
      <c r="AN242">
        <v>1.6212107864857599E-2</v>
      </c>
      <c r="AS242">
        <v>0.47708857044335701</v>
      </c>
      <c r="AU242" s="13"/>
    </row>
    <row r="243" spans="1:47" ht="16" x14ac:dyDescent="0.25">
      <c r="A243" s="9">
        <v>22</v>
      </c>
      <c r="B243">
        <v>0</v>
      </c>
      <c r="C243">
        <v>0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0</v>
      </c>
      <c r="AB243">
        <v>0</v>
      </c>
      <c r="AC243">
        <v>0</v>
      </c>
      <c r="AD243">
        <v>0.36725700444894321</v>
      </c>
      <c r="AE243">
        <v>8.0383961106445054E-3</v>
      </c>
      <c r="AF243">
        <v>2.1887659086872548</v>
      </c>
      <c r="AH243">
        <f t="shared" si="3"/>
        <v>0.36725700444894321</v>
      </c>
      <c r="AJ243">
        <v>0.35543045401573098</v>
      </c>
      <c r="AK243">
        <v>1.53456721454858E-2</v>
      </c>
      <c r="AL243" s="13"/>
      <c r="AM243" s="13">
        <v>0.38202698826789799</v>
      </c>
      <c r="AN243">
        <v>6.4250007195807604E-2</v>
      </c>
      <c r="AS243">
        <v>0.37274429196922199</v>
      </c>
      <c r="AU243" s="13"/>
    </row>
    <row r="244" spans="1:47" ht="16" x14ac:dyDescent="0.25">
      <c r="A244" s="9">
        <v>23</v>
      </c>
      <c r="B244">
        <v>0</v>
      </c>
      <c r="C244">
        <v>0</v>
      </c>
      <c r="D244">
        <v>0</v>
      </c>
      <c r="E244">
        <v>1</v>
      </c>
      <c r="F244">
        <v>0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0</v>
      </c>
      <c r="O244">
        <v>0</v>
      </c>
      <c r="P244">
        <v>0</v>
      </c>
      <c r="Q244">
        <v>1</v>
      </c>
      <c r="R244">
        <v>1</v>
      </c>
      <c r="S244">
        <v>0</v>
      </c>
      <c r="T244">
        <v>1</v>
      </c>
      <c r="U244">
        <v>1</v>
      </c>
      <c r="V244">
        <v>1</v>
      </c>
      <c r="W244">
        <v>1</v>
      </c>
      <c r="X244">
        <v>0</v>
      </c>
      <c r="Y244">
        <v>1</v>
      </c>
      <c r="Z244">
        <v>1</v>
      </c>
      <c r="AA244">
        <v>0</v>
      </c>
      <c r="AB244">
        <v>0</v>
      </c>
      <c r="AC244">
        <v>0</v>
      </c>
      <c r="AD244">
        <v>0.15566755708845659</v>
      </c>
      <c r="AE244">
        <v>1.4879915179845561E-2</v>
      </c>
      <c r="AF244">
        <v>9.558777344588373</v>
      </c>
      <c r="AH244">
        <f t="shared" si="3"/>
        <v>0.15566755708845659</v>
      </c>
      <c r="AJ244">
        <v>0.16659930348396301</v>
      </c>
      <c r="AK244">
        <v>3.5913877189159303E-2</v>
      </c>
      <c r="AL244" s="13"/>
      <c r="AM244" s="13">
        <v>0.26774299144744801</v>
      </c>
      <c r="AN244">
        <v>5.1221255800487697E-2</v>
      </c>
      <c r="AS244">
        <v>0.48055388474862698</v>
      </c>
      <c r="AU244" s="13"/>
    </row>
    <row r="245" spans="1:47" ht="16" x14ac:dyDescent="0.25">
      <c r="A245" s="9">
        <v>29</v>
      </c>
      <c r="B245">
        <v>0</v>
      </c>
      <c r="C245">
        <v>0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1</v>
      </c>
      <c r="K245">
        <v>1</v>
      </c>
      <c r="L245">
        <v>1</v>
      </c>
      <c r="M245">
        <v>0</v>
      </c>
      <c r="N245">
        <v>1</v>
      </c>
      <c r="O245">
        <v>1</v>
      </c>
      <c r="P245">
        <v>1</v>
      </c>
      <c r="Q245">
        <v>0</v>
      </c>
      <c r="R245">
        <v>0</v>
      </c>
      <c r="S245">
        <v>1</v>
      </c>
      <c r="T245">
        <v>1</v>
      </c>
      <c r="U245">
        <v>1</v>
      </c>
      <c r="V245">
        <v>0</v>
      </c>
      <c r="W245">
        <v>0</v>
      </c>
      <c r="X245">
        <v>1</v>
      </c>
      <c r="Y245">
        <v>1</v>
      </c>
      <c r="Z245">
        <v>1</v>
      </c>
      <c r="AA245">
        <v>0</v>
      </c>
      <c r="AB245">
        <v>0</v>
      </c>
      <c r="AC245">
        <v>0</v>
      </c>
      <c r="AD245">
        <v>0.39481252147366219</v>
      </c>
      <c r="AE245">
        <v>1.842754707235621E-2</v>
      </c>
      <c r="AF245">
        <v>4.6674170828154713</v>
      </c>
      <c r="AH245">
        <f t="shared" si="3"/>
        <v>0.39481252147366219</v>
      </c>
      <c r="AJ245">
        <v>0.40710937976837103</v>
      </c>
      <c r="AK245">
        <v>6.2786922790110103E-3</v>
      </c>
      <c r="AL245" s="13"/>
      <c r="AM245" s="13">
        <v>0.402014726400375</v>
      </c>
      <c r="AN245">
        <v>4.11856015157974E-2</v>
      </c>
      <c r="AS245">
        <v>0.42960377247559201</v>
      </c>
      <c r="AU245" s="13"/>
    </row>
    <row r="246" spans="1:47" ht="16" x14ac:dyDescent="0.25">
      <c r="A246" s="9">
        <v>13</v>
      </c>
      <c r="B246">
        <v>0</v>
      </c>
      <c r="C246">
        <v>0</v>
      </c>
      <c r="D246">
        <v>0</v>
      </c>
      <c r="E246">
        <v>1</v>
      </c>
      <c r="F246">
        <v>1</v>
      </c>
      <c r="G246">
        <v>1</v>
      </c>
      <c r="H246">
        <v>1</v>
      </c>
      <c r="I246">
        <v>0</v>
      </c>
      <c r="J246">
        <v>1</v>
      </c>
      <c r="K246">
        <v>1</v>
      </c>
      <c r="L246">
        <v>1</v>
      </c>
      <c r="M246">
        <v>0</v>
      </c>
      <c r="N246">
        <v>1</v>
      </c>
      <c r="O246">
        <v>1</v>
      </c>
      <c r="P246">
        <v>0</v>
      </c>
      <c r="Q246">
        <v>0</v>
      </c>
      <c r="R246">
        <v>0</v>
      </c>
      <c r="S246">
        <v>1</v>
      </c>
      <c r="T246">
        <v>1</v>
      </c>
      <c r="U246">
        <v>1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1</v>
      </c>
      <c r="AB246">
        <v>1</v>
      </c>
      <c r="AC246">
        <v>1</v>
      </c>
      <c r="AD246">
        <v>0.47977594970724841</v>
      </c>
      <c r="AE246">
        <v>1.258393900823975E-2</v>
      </c>
      <c r="AF246">
        <v>2.622878244713656</v>
      </c>
      <c r="AH246">
        <f t="shared" si="3"/>
        <v>0.47977594970724841</v>
      </c>
      <c r="AJ246">
        <v>0.46033808588981601</v>
      </c>
      <c r="AK246">
        <v>2.5554304942488601E-2</v>
      </c>
      <c r="AL246" s="13"/>
      <c r="AM246" s="13">
        <v>0.47377039194107001</v>
      </c>
      <c r="AN246">
        <v>1.7610131281396602E-2</v>
      </c>
      <c r="AS246">
        <v>0.609999069046265</v>
      </c>
      <c r="AU246" s="13"/>
    </row>
    <row r="247" spans="1:47" ht="16" x14ac:dyDescent="0.25">
      <c r="A247" s="9">
        <v>14</v>
      </c>
      <c r="B247">
        <v>0</v>
      </c>
      <c r="C247">
        <v>0</v>
      </c>
      <c r="D247">
        <v>0</v>
      </c>
      <c r="E247">
        <v>1</v>
      </c>
      <c r="F247">
        <v>1</v>
      </c>
      <c r="G247">
        <v>1</v>
      </c>
      <c r="H247">
        <v>1</v>
      </c>
      <c r="I247">
        <v>0</v>
      </c>
      <c r="J247">
        <v>1</v>
      </c>
      <c r="K247">
        <v>1</v>
      </c>
      <c r="L247">
        <v>1</v>
      </c>
      <c r="M247">
        <v>0</v>
      </c>
      <c r="N247">
        <v>1</v>
      </c>
      <c r="O247">
        <v>1</v>
      </c>
      <c r="P247">
        <v>1</v>
      </c>
      <c r="Q247">
        <v>0</v>
      </c>
      <c r="R247">
        <v>0</v>
      </c>
      <c r="S247">
        <v>1</v>
      </c>
      <c r="T247">
        <v>1</v>
      </c>
      <c r="U247">
        <v>1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1</v>
      </c>
      <c r="AB247">
        <v>1</v>
      </c>
      <c r="AC247">
        <v>1</v>
      </c>
      <c r="AD247">
        <v>0.4655157805641138</v>
      </c>
      <c r="AE247">
        <v>5.0139398197657338E-3</v>
      </c>
      <c r="AF247">
        <v>1.0770719337784469</v>
      </c>
      <c r="AH247">
        <f t="shared" si="3"/>
        <v>0.4655157805641138</v>
      </c>
      <c r="AJ247">
        <v>0.45391356945037797</v>
      </c>
      <c r="AK247">
        <v>2.32502054423093E-2</v>
      </c>
      <c r="AL247" s="13"/>
      <c r="AM247" s="13">
        <v>0.50569683909416197</v>
      </c>
      <c r="AN247">
        <v>3.41143758347267E-2</v>
      </c>
      <c r="AS247">
        <v>0.61279359148172796</v>
      </c>
      <c r="AU247" s="13"/>
    </row>
    <row r="248" spans="1:47" ht="16" x14ac:dyDescent="0.25">
      <c r="A248" s="9">
        <v>15</v>
      </c>
      <c r="B248">
        <v>0</v>
      </c>
      <c r="C248">
        <v>0</v>
      </c>
      <c r="D248">
        <v>0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0</v>
      </c>
      <c r="N248">
        <v>1</v>
      </c>
      <c r="O248">
        <v>1</v>
      </c>
      <c r="P248">
        <v>1</v>
      </c>
      <c r="Q248">
        <v>1</v>
      </c>
      <c r="R248">
        <v>0</v>
      </c>
      <c r="S248">
        <v>1</v>
      </c>
      <c r="T248">
        <v>1</v>
      </c>
      <c r="U248">
        <v>1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1</v>
      </c>
      <c r="AB248">
        <v>1</v>
      </c>
      <c r="AC248">
        <v>1</v>
      </c>
      <c r="AD248">
        <v>0.57846570163285538</v>
      </c>
      <c r="AE248">
        <v>6.3275101071999483E-3</v>
      </c>
      <c r="AF248">
        <v>1.093843608936375</v>
      </c>
      <c r="AH248">
        <f t="shared" si="3"/>
        <v>0.57846570163285538</v>
      </c>
      <c r="AJ248">
        <v>0.57938617467880205</v>
      </c>
      <c r="AK248">
        <v>1.7280047759413698E-2</v>
      </c>
      <c r="AL248" s="13"/>
      <c r="AM248" s="13">
        <v>0.64092686176299996</v>
      </c>
      <c r="AN248">
        <v>5.6670023967659897E-2</v>
      </c>
      <c r="AS248">
        <v>0.61737410565746298</v>
      </c>
      <c r="AU248" s="13"/>
    </row>
    <row r="249" spans="1:47" ht="16" x14ac:dyDescent="0.25">
      <c r="A249" s="9">
        <v>16</v>
      </c>
      <c r="B249">
        <v>0</v>
      </c>
      <c r="C249">
        <v>0</v>
      </c>
      <c r="D249">
        <v>0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0</v>
      </c>
      <c r="S249">
        <v>1</v>
      </c>
      <c r="T249">
        <v>1</v>
      </c>
      <c r="U249">
        <v>1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1</v>
      </c>
      <c r="AB249">
        <v>1</v>
      </c>
      <c r="AC249">
        <v>1</v>
      </c>
      <c r="AD249">
        <v>0.55852320953099566</v>
      </c>
      <c r="AE249">
        <v>1.1378822275583371E-2</v>
      </c>
      <c r="AF249">
        <v>2.037305179338639</v>
      </c>
      <c r="AH249">
        <f t="shared" si="3"/>
        <v>0.55852320953099566</v>
      </c>
      <c r="AJ249">
        <v>0.56894010305404596</v>
      </c>
      <c r="AK249">
        <v>3.1576659530401202E-2</v>
      </c>
      <c r="AL249" s="13"/>
      <c r="AM249" s="13">
        <v>0.66547601222991903</v>
      </c>
      <c r="AN249">
        <v>4.0791561523054097E-2</v>
      </c>
      <c r="AS249">
        <v>0.62291051254556196</v>
      </c>
      <c r="AU249" s="13"/>
    </row>
    <row r="250" spans="1:47" ht="16" x14ac:dyDescent="0.25">
      <c r="A250" s="9">
        <v>17</v>
      </c>
      <c r="B250">
        <v>0</v>
      </c>
      <c r="C250">
        <v>0</v>
      </c>
      <c r="D250">
        <v>0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0</v>
      </c>
      <c r="Z250">
        <v>0</v>
      </c>
      <c r="AA250">
        <v>1</v>
      </c>
      <c r="AB250">
        <v>1</v>
      </c>
      <c r="AC250">
        <v>1</v>
      </c>
      <c r="AD250">
        <v>0.81330836884138269</v>
      </c>
      <c r="AE250">
        <v>1.023626291855686E-2</v>
      </c>
      <c r="AF250">
        <v>1.2585955476075039</v>
      </c>
      <c r="AH250">
        <f t="shared" si="3"/>
        <v>0.81330836884138269</v>
      </c>
      <c r="AJ250">
        <v>0.72278809547424305</v>
      </c>
      <c r="AK250">
        <v>1.85669604688882E-2</v>
      </c>
      <c r="AL250" s="13"/>
      <c r="AM250" s="13">
        <v>0.66982573270797696</v>
      </c>
      <c r="AN250">
        <v>4.8739088032648002E-2</v>
      </c>
      <c r="AS250">
        <v>0.63298610568689895</v>
      </c>
      <c r="AU250" s="13"/>
    </row>
    <row r="251" spans="1:47" ht="16" x14ac:dyDescent="0.25">
      <c r="A251" s="9">
        <v>19</v>
      </c>
      <c r="B251">
        <v>0</v>
      </c>
      <c r="C251">
        <v>0</v>
      </c>
      <c r="D251">
        <v>0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0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0</v>
      </c>
      <c r="U251">
        <v>0</v>
      </c>
      <c r="V251">
        <v>1</v>
      </c>
      <c r="W251">
        <v>1</v>
      </c>
      <c r="X251">
        <v>1</v>
      </c>
      <c r="Y251">
        <v>0</v>
      </c>
      <c r="Z251">
        <v>0</v>
      </c>
      <c r="AA251">
        <v>1</v>
      </c>
      <c r="AB251">
        <v>1</v>
      </c>
      <c r="AC251">
        <v>1</v>
      </c>
      <c r="AD251">
        <v>0.17180131922216341</v>
      </c>
      <c r="AE251">
        <v>1.380503741031845E-2</v>
      </c>
      <c r="AF251">
        <v>8.0354664753572607</v>
      </c>
      <c r="AH251">
        <f t="shared" si="3"/>
        <v>0.17180131922216341</v>
      </c>
      <c r="AJ251">
        <v>0.205402687191963</v>
      </c>
      <c r="AK251">
        <v>2.6499604806303902E-2</v>
      </c>
      <c r="AL251" s="13"/>
      <c r="AM251" s="13">
        <v>0.45429101586341802</v>
      </c>
      <c r="AN251">
        <v>4.41909248231524E-2</v>
      </c>
      <c r="AS251">
        <v>0.54601774171488104</v>
      </c>
      <c r="AU251" s="13"/>
    </row>
    <row r="252" spans="1:47" ht="16" x14ac:dyDescent="0.25">
      <c r="A252" s="9">
        <v>20</v>
      </c>
      <c r="B252">
        <v>0</v>
      </c>
      <c r="C252">
        <v>0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0</v>
      </c>
      <c r="Z252">
        <v>0</v>
      </c>
      <c r="AA252">
        <v>1</v>
      </c>
      <c r="AB252">
        <v>1</v>
      </c>
      <c r="AC252">
        <v>1</v>
      </c>
      <c r="AD252">
        <v>0.69145664497104142</v>
      </c>
      <c r="AE252">
        <v>2.7814237008842599E-2</v>
      </c>
      <c r="AF252">
        <v>4.0225569037676214</v>
      </c>
      <c r="AH252">
        <f t="shared" si="3"/>
        <v>0.69145664497104142</v>
      </c>
      <c r="AJ252">
        <v>0.69159632921218805</v>
      </c>
      <c r="AK252">
        <v>1.6611460596322999E-2</v>
      </c>
      <c r="AL252" s="13"/>
      <c r="AM252" s="13">
        <v>0.727385377883911</v>
      </c>
      <c r="AN252">
        <v>3.5280989073848003E-2</v>
      </c>
      <c r="AS252">
        <v>0.54762957336603701</v>
      </c>
      <c r="AU252" s="13"/>
    </row>
    <row r="253" spans="1:47" ht="16" x14ac:dyDescent="0.25">
      <c r="A253" s="9">
        <v>21</v>
      </c>
      <c r="B253">
        <v>0</v>
      </c>
      <c r="C253">
        <v>0</v>
      </c>
      <c r="D253">
        <v>0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0</v>
      </c>
      <c r="K253">
        <v>0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0</v>
      </c>
      <c r="Z253">
        <v>0</v>
      </c>
      <c r="AA253">
        <v>1</v>
      </c>
      <c r="AB253">
        <v>1</v>
      </c>
      <c r="AC253">
        <v>1</v>
      </c>
      <c r="AD253">
        <v>0.76205001072318856</v>
      </c>
      <c r="AE253">
        <v>1.673274890556356E-2</v>
      </c>
      <c r="AF253">
        <v>2.1957546972126032</v>
      </c>
      <c r="AH253">
        <f t="shared" si="3"/>
        <v>0.76205001072318856</v>
      </c>
      <c r="AJ253">
        <v>0.75602740049362105</v>
      </c>
      <c r="AK253">
        <v>2.7679070830345098E-2</v>
      </c>
      <c r="AL253" s="13"/>
      <c r="AM253" s="13">
        <v>0.67782075405120801</v>
      </c>
      <c r="AN253">
        <v>6.2177510726220603E-2</v>
      </c>
      <c r="AS253">
        <v>0.604019180244039</v>
      </c>
      <c r="AU253" s="13"/>
    </row>
    <row r="254" spans="1:47" ht="16" x14ac:dyDescent="0.25">
      <c r="A254" s="9">
        <v>22</v>
      </c>
      <c r="B254">
        <v>0</v>
      </c>
      <c r="C254">
        <v>0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0</v>
      </c>
      <c r="Z254">
        <v>0</v>
      </c>
      <c r="AA254">
        <v>1</v>
      </c>
      <c r="AB254">
        <v>1</v>
      </c>
      <c r="AC254">
        <v>1</v>
      </c>
      <c r="AD254">
        <v>0.71226230429648552</v>
      </c>
      <c r="AE254">
        <v>1.8364956486012898E-2</v>
      </c>
      <c r="AF254">
        <v>2.5783979266110819</v>
      </c>
      <c r="AH254">
        <f t="shared" si="3"/>
        <v>0.71226230429648552</v>
      </c>
      <c r="AJ254">
        <v>0.70089644193649203</v>
      </c>
      <c r="AK254">
        <v>1.6171097755432101E-2</v>
      </c>
      <c r="AL254" s="13"/>
      <c r="AM254" s="13">
        <v>0.69048924446105897</v>
      </c>
      <c r="AN254">
        <v>2.0169001021488699E-2</v>
      </c>
      <c r="AS254">
        <v>0.46692302952006898</v>
      </c>
      <c r="AU254" s="13"/>
    </row>
    <row r="255" spans="1:47" ht="16" x14ac:dyDescent="0.25">
      <c r="A255" s="9">
        <v>23</v>
      </c>
      <c r="B255">
        <v>0</v>
      </c>
      <c r="C255">
        <v>0</v>
      </c>
      <c r="D255">
        <v>0</v>
      </c>
      <c r="E255">
        <v>1</v>
      </c>
      <c r="F255">
        <v>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0</v>
      </c>
      <c r="O255">
        <v>0</v>
      </c>
      <c r="P255">
        <v>0</v>
      </c>
      <c r="Q255">
        <v>1</v>
      </c>
      <c r="R255">
        <v>1</v>
      </c>
      <c r="S255">
        <v>0</v>
      </c>
      <c r="T255">
        <v>1</v>
      </c>
      <c r="U255">
        <v>1</v>
      </c>
      <c r="V255">
        <v>1</v>
      </c>
      <c r="W255">
        <v>1</v>
      </c>
      <c r="X255">
        <v>0</v>
      </c>
      <c r="Y255">
        <v>0</v>
      </c>
      <c r="Z255">
        <v>0</v>
      </c>
      <c r="AA255">
        <v>1</v>
      </c>
      <c r="AB255">
        <v>1</v>
      </c>
      <c r="AC255">
        <v>1</v>
      </c>
      <c r="AD255">
        <v>0.19622108314961689</v>
      </c>
      <c r="AE255">
        <v>3.616756545709547E-3</v>
      </c>
      <c r="AF255">
        <v>1.843204862421334</v>
      </c>
      <c r="AH255">
        <f t="shared" si="3"/>
        <v>0.19622108314961689</v>
      </c>
      <c r="AJ255">
        <v>0.19482035934924999</v>
      </c>
      <c r="AK255">
        <v>6.6799536347389193E-2</v>
      </c>
      <c r="AL255" s="13"/>
      <c r="AM255" s="13">
        <v>0.51194314956664999</v>
      </c>
      <c r="AN255">
        <v>4.91942700586087E-2</v>
      </c>
      <c r="AS255">
        <v>0.60222945458486798</v>
      </c>
      <c r="AU255" s="13"/>
    </row>
    <row r="256" spans="1:47" ht="16" x14ac:dyDescent="0.25">
      <c r="A256" s="9">
        <v>27</v>
      </c>
      <c r="B256">
        <v>0</v>
      </c>
      <c r="C256">
        <v>0</v>
      </c>
      <c r="D256">
        <v>0</v>
      </c>
      <c r="E256">
        <v>1</v>
      </c>
      <c r="F256">
        <v>1</v>
      </c>
      <c r="G256">
        <v>1</v>
      </c>
      <c r="H256">
        <v>1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1</v>
      </c>
      <c r="O256">
        <v>1</v>
      </c>
      <c r="P256">
        <v>1</v>
      </c>
      <c r="Q256">
        <v>0</v>
      </c>
      <c r="R256">
        <v>0</v>
      </c>
      <c r="S256">
        <v>1</v>
      </c>
      <c r="T256">
        <v>1</v>
      </c>
      <c r="U256">
        <v>1</v>
      </c>
      <c r="V256">
        <v>0</v>
      </c>
      <c r="W256">
        <v>0</v>
      </c>
      <c r="X256">
        <v>1</v>
      </c>
      <c r="Y256">
        <v>0</v>
      </c>
      <c r="Z256">
        <v>0</v>
      </c>
      <c r="AA256">
        <v>1</v>
      </c>
      <c r="AB256">
        <v>1</v>
      </c>
      <c r="AC256">
        <v>1</v>
      </c>
      <c r="AD256">
        <v>0.41984825177542912</v>
      </c>
      <c r="AE256">
        <v>3.5082964863473211E-3</v>
      </c>
      <c r="AF256">
        <v>0.83561059776041635</v>
      </c>
      <c r="AH256">
        <f t="shared" si="3"/>
        <v>0.41984825177542912</v>
      </c>
      <c r="AJ256">
        <v>0.426778554916381</v>
      </c>
      <c r="AK256">
        <v>1.0152745991945201E-2</v>
      </c>
      <c r="AL256" s="13"/>
      <c r="AM256" s="13">
        <v>0.39660421013831998</v>
      </c>
      <c r="AN256">
        <v>5.1704424601346097E-2</v>
      </c>
      <c r="AS256">
        <v>0.58467199425765204</v>
      </c>
      <c r="AU256" s="13"/>
    </row>
    <row r="257" spans="1:47" ht="16" x14ac:dyDescent="0.25">
      <c r="A257" s="9">
        <v>29</v>
      </c>
      <c r="B257">
        <v>0</v>
      </c>
      <c r="C257">
        <v>0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1</v>
      </c>
      <c r="K257">
        <v>1</v>
      </c>
      <c r="L257">
        <v>1</v>
      </c>
      <c r="M257">
        <v>0</v>
      </c>
      <c r="N257">
        <v>1</v>
      </c>
      <c r="O257">
        <v>1</v>
      </c>
      <c r="P257">
        <v>1</v>
      </c>
      <c r="Q257">
        <v>0</v>
      </c>
      <c r="R257">
        <v>0</v>
      </c>
      <c r="S257">
        <v>1</v>
      </c>
      <c r="T257">
        <v>1</v>
      </c>
      <c r="U257">
        <v>1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1</v>
      </c>
      <c r="AB257">
        <v>1</v>
      </c>
      <c r="AC257">
        <v>1</v>
      </c>
      <c r="AD257">
        <v>0.40266273861100338</v>
      </c>
      <c r="AE257">
        <v>2.1756858074113549E-2</v>
      </c>
      <c r="AF257">
        <v>5.4032459395583636</v>
      </c>
      <c r="AH257">
        <f t="shared" si="3"/>
        <v>0.40266273861100338</v>
      </c>
      <c r="AJ257">
        <v>0.42726373672485302</v>
      </c>
      <c r="AK257">
        <v>1.9746625795960399E-2</v>
      </c>
      <c r="AL257" s="13"/>
      <c r="AM257" s="13">
        <v>0.54156795740127495</v>
      </c>
      <c r="AN257">
        <v>3.84186915475574E-2</v>
      </c>
      <c r="AS257">
        <v>0.52725243083089202</v>
      </c>
      <c r="AU257" s="13"/>
    </row>
    <row r="258" spans="1:47" ht="16" x14ac:dyDescent="0.25">
      <c r="A258" s="9">
        <v>12</v>
      </c>
      <c r="B258">
        <v>0</v>
      </c>
      <c r="C258">
        <v>0</v>
      </c>
      <c r="D258">
        <v>0</v>
      </c>
      <c r="E258">
        <v>1</v>
      </c>
      <c r="F258">
        <v>1</v>
      </c>
      <c r="G258">
        <v>1</v>
      </c>
      <c r="H258">
        <v>1</v>
      </c>
      <c r="I258">
        <v>0</v>
      </c>
      <c r="J258">
        <v>1</v>
      </c>
      <c r="K258">
        <v>1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1</v>
      </c>
      <c r="U258">
        <v>1</v>
      </c>
      <c r="V258">
        <v>0</v>
      </c>
      <c r="W258">
        <v>0</v>
      </c>
      <c r="X258">
        <v>0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0.20786819242448551</v>
      </c>
      <c r="AE258">
        <v>1.313104471388063E-2</v>
      </c>
      <c r="AF258">
        <v>6.3170052910576411</v>
      </c>
      <c r="AH258">
        <f t="shared" ref="AH258:AH281" si="4">AD258</f>
        <v>0.20786819242448551</v>
      </c>
      <c r="AJ258">
        <v>0.190031513571739</v>
      </c>
      <c r="AK258">
        <v>2.6422565802931699E-2</v>
      </c>
      <c r="AL258" s="13"/>
      <c r="AM258" s="13">
        <v>0.23138481676578501</v>
      </c>
      <c r="AN258">
        <v>3.8969045555403703E-2</v>
      </c>
      <c r="AS258">
        <v>0.63081676316650004</v>
      </c>
      <c r="AU258" s="13"/>
    </row>
    <row r="259" spans="1:47" ht="16" x14ac:dyDescent="0.25">
      <c r="A259" s="9">
        <v>13</v>
      </c>
      <c r="B259">
        <v>0</v>
      </c>
      <c r="C259">
        <v>0</v>
      </c>
      <c r="D259">
        <v>0</v>
      </c>
      <c r="E259">
        <v>1</v>
      </c>
      <c r="F259">
        <v>1</v>
      </c>
      <c r="G259">
        <v>1</v>
      </c>
      <c r="H259">
        <v>1</v>
      </c>
      <c r="I259">
        <v>0</v>
      </c>
      <c r="J259">
        <v>1</v>
      </c>
      <c r="K259">
        <v>1</v>
      </c>
      <c r="L259">
        <v>1</v>
      </c>
      <c r="M259">
        <v>0</v>
      </c>
      <c r="N259">
        <v>1</v>
      </c>
      <c r="O259">
        <v>1</v>
      </c>
      <c r="P259">
        <v>0</v>
      </c>
      <c r="Q259">
        <v>0</v>
      </c>
      <c r="R259">
        <v>0</v>
      </c>
      <c r="S259">
        <v>1</v>
      </c>
      <c r="T259">
        <v>1</v>
      </c>
      <c r="U259">
        <v>1</v>
      </c>
      <c r="V259">
        <v>0</v>
      </c>
      <c r="W259">
        <v>0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0.42919323539179388</v>
      </c>
      <c r="AE259">
        <v>2.0954857652002341E-2</v>
      </c>
      <c r="AF259">
        <v>4.8823830209890113</v>
      </c>
      <c r="AH259">
        <f t="shared" si="4"/>
        <v>0.42919323539179388</v>
      </c>
      <c r="AJ259">
        <v>0.43652927875518799</v>
      </c>
      <c r="AK259">
        <v>6.4408485777676097E-3</v>
      </c>
      <c r="AL259" s="13"/>
      <c r="AM259" s="13">
        <v>0.49975218772888103</v>
      </c>
      <c r="AN259">
        <v>3.7704293639276798E-2</v>
      </c>
      <c r="AS259">
        <v>0.63270290178836097</v>
      </c>
      <c r="AU259" s="13"/>
    </row>
    <row r="260" spans="1:47" ht="16" x14ac:dyDescent="0.25">
      <c r="A260" s="9">
        <v>14</v>
      </c>
      <c r="B260">
        <v>0</v>
      </c>
      <c r="C260">
        <v>0</v>
      </c>
      <c r="D260">
        <v>0</v>
      </c>
      <c r="E260">
        <v>1</v>
      </c>
      <c r="F260">
        <v>1</v>
      </c>
      <c r="G260">
        <v>1</v>
      </c>
      <c r="H260">
        <v>1</v>
      </c>
      <c r="I260">
        <v>0</v>
      </c>
      <c r="J260">
        <v>1</v>
      </c>
      <c r="K260">
        <v>1</v>
      </c>
      <c r="L260">
        <v>1</v>
      </c>
      <c r="M260">
        <v>0</v>
      </c>
      <c r="N260">
        <v>1</v>
      </c>
      <c r="O260">
        <v>1</v>
      </c>
      <c r="P260">
        <v>1</v>
      </c>
      <c r="Q260">
        <v>0</v>
      </c>
      <c r="R260">
        <v>0</v>
      </c>
      <c r="S260">
        <v>1</v>
      </c>
      <c r="T260">
        <v>1</v>
      </c>
      <c r="U260">
        <v>1</v>
      </c>
      <c r="V260">
        <v>0</v>
      </c>
      <c r="W260">
        <v>0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0.49347407392068898</v>
      </c>
      <c r="AE260">
        <v>1.521925594576529E-2</v>
      </c>
      <c r="AF260">
        <v>3.084104464667647</v>
      </c>
      <c r="AH260">
        <f t="shared" si="4"/>
        <v>0.49347407392068898</v>
      </c>
      <c r="AJ260">
        <v>0.48982763290405201</v>
      </c>
      <c r="AK260">
        <v>1.11012300476431E-2</v>
      </c>
      <c r="AL260" s="13"/>
      <c r="AM260" s="13">
        <v>0.47783567309379499</v>
      </c>
      <c r="AN260">
        <v>1.3605788603859199E-2</v>
      </c>
      <c r="AS260">
        <v>0.63570982935383602</v>
      </c>
      <c r="AU260" s="13"/>
    </row>
    <row r="261" spans="1:47" ht="16" x14ac:dyDescent="0.25">
      <c r="A261" s="9">
        <v>15</v>
      </c>
      <c r="B261">
        <v>0</v>
      </c>
      <c r="C261">
        <v>0</v>
      </c>
      <c r="D261">
        <v>0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0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0</v>
      </c>
      <c r="W261">
        <v>0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0.62686091912652586</v>
      </c>
      <c r="AE261">
        <v>2.804833040549526E-3</v>
      </c>
      <c r="AF261">
        <v>0.4474410439332871</v>
      </c>
      <c r="AH261">
        <f t="shared" si="4"/>
        <v>0.62686091912652586</v>
      </c>
      <c r="AJ261">
        <v>0.618613421916961</v>
      </c>
      <c r="AK261">
        <v>1.39275370165705E-2</v>
      </c>
      <c r="AL261" s="13"/>
      <c r="AM261" s="13">
        <v>0.61628888845443697</v>
      </c>
      <c r="AN261">
        <v>2.3305656935448699E-2</v>
      </c>
      <c r="AS261">
        <v>0.64064071658556199</v>
      </c>
      <c r="AU261" s="13"/>
    </row>
    <row r="262" spans="1:47" ht="16" x14ac:dyDescent="0.25">
      <c r="A262" s="9">
        <v>16</v>
      </c>
      <c r="B262">
        <v>0</v>
      </c>
      <c r="C262">
        <v>0</v>
      </c>
      <c r="D262">
        <v>0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0</v>
      </c>
      <c r="W262">
        <v>0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0.65714837569503282</v>
      </c>
      <c r="AE262">
        <v>1.9011686932792531E-2</v>
      </c>
      <c r="AF262">
        <v>2.8930584988032311</v>
      </c>
      <c r="AH262">
        <f t="shared" si="4"/>
        <v>0.65714837569503282</v>
      </c>
      <c r="AJ262">
        <v>0.67642933130264205</v>
      </c>
      <c r="AK262">
        <v>2.18995437026023E-2</v>
      </c>
      <c r="AL262" s="13"/>
      <c r="AM262" s="13">
        <v>0.63298547267913796</v>
      </c>
      <c r="AN262">
        <v>2.5823684419555199E-2</v>
      </c>
      <c r="AS262">
        <v>0.64660429663706198</v>
      </c>
      <c r="AU262" s="13"/>
    </row>
    <row r="263" spans="1:47" ht="16" x14ac:dyDescent="0.25">
      <c r="A263" s="9">
        <v>19</v>
      </c>
      <c r="B263">
        <v>0</v>
      </c>
      <c r="C263">
        <v>0</v>
      </c>
      <c r="D263">
        <v>0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0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0</v>
      </c>
      <c r="U263">
        <v>0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0.1670206821999288</v>
      </c>
      <c r="AE263">
        <v>1.400625161751482E-2</v>
      </c>
      <c r="AF263">
        <v>8.3859384556631813</v>
      </c>
      <c r="AH263">
        <f t="shared" si="4"/>
        <v>0.1670206821999288</v>
      </c>
      <c r="AJ263">
        <v>0.24033534526824901</v>
      </c>
      <c r="AK263">
        <v>1.42798731103539E-2</v>
      </c>
      <c r="AL263" s="13"/>
      <c r="AM263" s="13">
        <v>0.320478641986846</v>
      </c>
      <c r="AN263">
        <v>5.0278973531216499E-2</v>
      </c>
      <c r="AS263">
        <v>0.56892321593024098</v>
      </c>
      <c r="AU263" s="13"/>
    </row>
    <row r="264" spans="1:47" ht="16" x14ac:dyDescent="0.25">
      <c r="A264" s="9">
        <v>20</v>
      </c>
      <c r="B264">
        <v>0</v>
      </c>
      <c r="C264">
        <v>0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0.74740788428599125</v>
      </c>
      <c r="AE264">
        <v>3.2692385847942502E-3</v>
      </c>
      <c r="AF264">
        <v>0.43741023523151579</v>
      </c>
      <c r="AH264">
        <f t="shared" si="4"/>
        <v>0.74740788428599125</v>
      </c>
      <c r="AJ264">
        <v>0.692665874958038</v>
      </c>
      <c r="AK264">
        <v>1.7715735360979999E-2</v>
      </c>
      <c r="AL264" s="13"/>
      <c r="AM264" s="13">
        <v>0.63160059452056805</v>
      </c>
      <c r="AN264">
        <v>2.9519479244585901E-2</v>
      </c>
      <c r="AS264">
        <v>0.56766085598873905</v>
      </c>
      <c r="AU264" s="13"/>
    </row>
    <row r="265" spans="1:47" ht="16" x14ac:dyDescent="0.25">
      <c r="A265" s="9">
        <v>21</v>
      </c>
      <c r="B265">
        <v>0</v>
      </c>
      <c r="C265">
        <v>0</v>
      </c>
      <c r="D265">
        <v>0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0</v>
      </c>
      <c r="K265">
        <v>0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0.67527920298395439</v>
      </c>
      <c r="AE265">
        <v>1.4008520091643909E-2</v>
      </c>
      <c r="AF265">
        <v>2.0744782350385478</v>
      </c>
      <c r="AH265">
        <f t="shared" si="4"/>
        <v>0.67527920298395439</v>
      </c>
      <c r="AJ265">
        <v>0.66434198617935103</v>
      </c>
      <c r="AK265">
        <v>1.8732981756329498E-2</v>
      </c>
      <c r="AL265" s="13"/>
      <c r="AM265" s="13">
        <v>0.573983013629913</v>
      </c>
      <c r="AN265">
        <v>4.6506550448149497E-2</v>
      </c>
      <c r="AS265">
        <v>0.62944859491218996</v>
      </c>
      <c r="AU265" s="13"/>
    </row>
    <row r="266" spans="1:47" ht="16" x14ac:dyDescent="0.25">
      <c r="A266" s="9">
        <v>22</v>
      </c>
      <c r="B266">
        <v>0</v>
      </c>
      <c r="C266">
        <v>0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0.58709926990594508</v>
      </c>
      <c r="AE266">
        <v>2.8869069467000959E-2</v>
      </c>
      <c r="AF266">
        <v>4.9172381821605509</v>
      </c>
      <c r="AH266">
        <f t="shared" si="4"/>
        <v>0.58709926990594508</v>
      </c>
      <c r="AJ266">
        <v>0.62254333496093694</v>
      </c>
      <c r="AK266">
        <v>1.34820509701967E-2</v>
      </c>
      <c r="AL266" s="13"/>
      <c r="AM266" s="13">
        <v>0.62479339838027903</v>
      </c>
      <c r="AN266">
        <v>2.5129565068664501E-2</v>
      </c>
      <c r="AS266">
        <v>0.48998713227026103</v>
      </c>
      <c r="AU266" s="13"/>
    </row>
    <row r="267" spans="1:47" ht="16" x14ac:dyDescent="0.25">
      <c r="A267" s="9">
        <v>25</v>
      </c>
      <c r="B267">
        <v>0</v>
      </c>
      <c r="C267">
        <v>0</v>
      </c>
      <c r="D267">
        <v>0</v>
      </c>
      <c r="E267">
        <v>1</v>
      </c>
      <c r="F267">
        <v>1</v>
      </c>
      <c r="G267">
        <v>1</v>
      </c>
      <c r="H267">
        <v>1</v>
      </c>
      <c r="I267">
        <v>0</v>
      </c>
      <c r="J267">
        <v>1</v>
      </c>
      <c r="K267">
        <v>1</v>
      </c>
      <c r="L267">
        <v>0</v>
      </c>
      <c r="M267">
        <v>0</v>
      </c>
      <c r="N267">
        <v>1</v>
      </c>
      <c r="O267">
        <v>1</v>
      </c>
      <c r="P267">
        <v>1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0.16440567203609069</v>
      </c>
      <c r="AE267">
        <v>3.4522846019748011E-3</v>
      </c>
      <c r="AF267">
        <v>2.0998573584595959</v>
      </c>
      <c r="AH267">
        <f t="shared" si="4"/>
        <v>0.16440567203609069</v>
      </c>
      <c r="AJ267">
        <v>0.20630039274692499</v>
      </c>
      <c r="AK267">
        <v>2.94793359935283E-2</v>
      </c>
      <c r="AL267" s="13"/>
      <c r="AM267" s="13">
        <v>0.199243146181106</v>
      </c>
      <c r="AN267">
        <v>7.3138210751811206E-2</v>
      </c>
      <c r="AS267">
        <v>0.53982083039011397</v>
      </c>
      <c r="AU267" s="13"/>
    </row>
    <row r="268" spans="1:47" ht="16" x14ac:dyDescent="0.25">
      <c r="A268" s="9">
        <v>26</v>
      </c>
      <c r="B268">
        <v>0</v>
      </c>
      <c r="C268">
        <v>0</v>
      </c>
      <c r="D268">
        <v>0</v>
      </c>
      <c r="E268">
        <v>1</v>
      </c>
      <c r="F268">
        <v>0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1</v>
      </c>
      <c r="R268">
        <v>1</v>
      </c>
      <c r="S268">
        <v>0</v>
      </c>
      <c r="T268">
        <v>0</v>
      </c>
      <c r="U268">
        <v>0</v>
      </c>
      <c r="V268">
        <v>1</v>
      </c>
      <c r="W268">
        <v>1</v>
      </c>
      <c r="X268">
        <v>0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0.34776726625166787</v>
      </c>
      <c r="AE268">
        <v>3.8374144128932218E-2</v>
      </c>
      <c r="AF268">
        <v>11.03443246471682</v>
      </c>
      <c r="AH268">
        <f t="shared" si="4"/>
        <v>0.34776726625166787</v>
      </c>
      <c r="AJ268">
        <v>0.35900416970252902</v>
      </c>
      <c r="AK268">
        <v>4.3006770312786102E-2</v>
      </c>
      <c r="AL268" s="13"/>
      <c r="AM268" s="13">
        <v>4.9886569380760103E-2</v>
      </c>
      <c r="AN268">
        <v>5.38390208228052E-2</v>
      </c>
      <c r="AS268">
        <v>0.53701788913034598</v>
      </c>
      <c r="AU268" s="13"/>
    </row>
    <row r="269" spans="1:47" ht="16" x14ac:dyDescent="0.25">
      <c r="A269" s="9">
        <v>27</v>
      </c>
      <c r="B269">
        <v>0</v>
      </c>
      <c r="C269">
        <v>0</v>
      </c>
      <c r="D269">
        <v>0</v>
      </c>
      <c r="E269">
        <v>1</v>
      </c>
      <c r="F269">
        <v>1</v>
      </c>
      <c r="G269">
        <v>1</v>
      </c>
      <c r="H269">
        <v>1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1</v>
      </c>
      <c r="O269">
        <v>1</v>
      </c>
      <c r="P269">
        <v>1</v>
      </c>
      <c r="Q269">
        <v>0</v>
      </c>
      <c r="R269">
        <v>0</v>
      </c>
      <c r="S269">
        <v>1</v>
      </c>
      <c r="T269">
        <v>1</v>
      </c>
      <c r="U269">
        <v>1</v>
      </c>
      <c r="V269">
        <v>0</v>
      </c>
      <c r="W269">
        <v>0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0.34231517561598018</v>
      </c>
      <c r="AE269">
        <v>3.6814286787609743E-2</v>
      </c>
      <c r="AF269">
        <v>10.754500358146309</v>
      </c>
      <c r="AH269">
        <f t="shared" si="4"/>
        <v>0.34231517561598018</v>
      </c>
      <c r="AJ269">
        <v>0.361013263463974</v>
      </c>
      <c r="AK269">
        <v>2.5779257994145099E-3</v>
      </c>
      <c r="AL269" s="13"/>
      <c r="AM269" s="13">
        <v>0.38163610696792599</v>
      </c>
      <c r="AN269">
        <v>1.49014005606666E-2</v>
      </c>
      <c r="AS269">
        <v>0.60846636553982303</v>
      </c>
      <c r="AU269" s="13"/>
    </row>
    <row r="270" spans="1:47" ht="16" x14ac:dyDescent="0.25">
      <c r="A270" s="9">
        <v>29</v>
      </c>
      <c r="B270">
        <v>0</v>
      </c>
      <c r="C270">
        <v>0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1</v>
      </c>
      <c r="K270">
        <v>1</v>
      </c>
      <c r="L270">
        <v>1</v>
      </c>
      <c r="M270">
        <v>0</v>
      </c>
      <c r="N270">
        <v>1</v>
      </c>
      <c r="O270">
        <v>1</v>
      </c>
      <c r="P270">
        <v>1</v>
      </c>
      <c r="Q270">
        <v>0</v>
      </c>
      <c r="R270">
        <v>0</v>
      </c>
      <c r="S270">
        <v>1</v>
      </c>
      <c r="T270">
        <v>1</v>
      </c>
      <c r="U270">
        <v>1</v>
      </c>
      <c r="V270">
        <v>0</v>
      </c>
      <c r="W270">
        <v>0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0.52889411249703611</v>
      </c>
      <c r="AE270">
        <v>3.1846371835477387E-2</v>
      </c>
      <c r="AF270">
        <v>6.0213133561126284</v>
      </c>
      <c r="AH270">
        <f t="shared" si="4"/>
        <v>0.52889411249703611</v>
      </c>
      <c r="AJ270">
        <v>0.50490355491638095</v>
      </c>
      <c r="AK270">
        <v>7.4358498677611299E-3</v>
      </c>
      <c r="AL270" s="13"/>
      <c r="AM270" s="13">
        <v>0.48824638128280601</v>
      </c>
      <c r="AN270">
        <v>1.37199234609527E-2</v>
      </c>
      <c r="AS270">
        <v>0.54692840900941098</v>
      </c>
      <c r="AU270" s="13"/>
    </row>
    <row r="271" spans="1:47" ht="16" x14ac:dyDescent="0.25">
      <c r="A271" s="9">
        <v>2</v>
      </c>
      <c r="B271">
        <v>0</v>
      </c>
      <c r="C271">
        <v>0</v>
      </c>
      <c r="D271">
        <v>0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0.78223662920016324</v>
      </c>
      <c r="AE271">
        <v>9.3034962368885987E-3</v>
      </c>
      <c r="AF271">
        <v>1.1893455112683</v>
      </c>
      <c r="AH271">
        <f t="shared" si="4"/>
        <v>0.78223662920016324</v>
      </c>
      <c r="AJ271">
        <v>0.72523397207260099</v>
      </c>
      <c r="AK271">
        <v>1.7739506438374499E-2</v>
      </c>
      <c r="AL271" s="13"/>
      <c r="AM271" s="13">
        <v>0.62720111608505202</v>
      </c>
      <c r="AN271">
        <v>3.6084925192455902E-2</v>
      </c>
      <c r="AS271">
        <v>0.65746764626014598</v>
      </c>
      <c r="AU271" s="13"/>
    </row>
    <row r="272" spans="1:47" ht="16" x14ac:dyDescent="0.25">
      <c r="A272" s="9">
        <v>19</v>
      </c>
      <c r="B272">
        <v>0</v>
      </c>
      <c r="C272">
        <v>0</v>
      </c>
      <c r="D272">
        <v>0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0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0.27311003195332723</v>
      </c>
      <c r="AE272">
        <v>1.42262375708025E-2</v>
      </c>
      <c r="AF272">
        <v>5.208976568547901</v>
      </c>
      <c r="AH272">
        <f t="shared" si="4"/>
        <v>0.27311003195332723</v>
      </c>
      <c r="AJ272">
        <v>0.27055886387825001</v>
      </c>
      <c r="AK272">
        <v>4.2684122920036302E-2</v>
      </c>
      <c r="AL272" s="13"/>
      <c r="AM272" s="13">
        <v>0.30247010588645901</v>
      </c>
      <c r="AN272">
        <v>4.1780158293838597E-2</v>
      </c>
      <c r="AS272">
        <v>0.646167872943472</v>
      </c>
      <c r="AU272" s="13"/>
    </row>
    <row r="273" spans="1:47" ht="16" x14ac:dyDescent="0.25">
      <c r="A273" s="9" t="s">
        <v>40</v>
      </c>
      <c r="B273">
        <v>0</v>
      </c>
      <c r="C273">
        <v>0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0</v>
      </c>
      <c r="S273">
        <v>1</v>
      </c>
      <c r="T273">
        <v>1</v>
      </c>
      <c r="U273">
        <v>1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0.63415557421889723</v>
      </c>
      <c r="AE273">
        <v>4.4098474870327309E-2</v>
      </c>
      <c r="AF273">
        <v>6.9538890239424811</v>
      </c>
      <c r="AH273">
        <f t="shared" si="4"/>
        <v>0.63415557421889723</v>
      </c>
      <c r="AJ273">
        <v>0.56560570001602095</v>
      </c>
      <c r="AK273">
        <v>3.4261147957295101E-3</v>
      </c>
      <c r="AL273" s="13"/>
      <c r="AM273" s="13">
        <v>0.52058638334274199</v>
      </c>
      <c r="AN273">
        <v>1.94062409252223E-2</v>
      </c>
      <c r="AS273">
        <v>0.42338138742073</v>
      </c>
      <c r="AU273" s="13"/>
    </row>
    <row r="274" spans="1:47" ht="16" x14ac:dyDescent="0.25">
      <c r="A274" s="9" t="s">
        <v>54</v>
      </c>
      <c r="B274">
        <v>0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1</v>
      </c>
      <c r="M274">
        <v>0</v>
      </c>
      <c r="N274">
        <v>1</v>
      </c>
      <c r="O274">
        <v>1</v>
      </c>
      <c r="P274">
        <v>0</v>
      </c>
      <c r="Q274">
        <v>1</v>
      </c>
      <c r="R274">
        <v>0</v>
      </c>
      <c r="S274">
        <v>1</v>
      </c>
      <c r="T274">
        <v>1</v>
      </c>
      <c r="U274">
        <v>1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0.62437432797528725</v>
      </c>
      <c r="AE274">
        <v>1.8611389843146049E-2</v>
      </c>
      <c r="AF274">
        <v>2.9808063863706269</v>
      </c>
      <c r="AH274">
        <f t="shared" si="4"/>
        <v>0.62437432797528725</v>
      </c>
      <c r="AJ274">
        <v>0.63796889781951904</v>
      </c>
      <c r="AK274">
        <v>1.03261722251772E-2</v>
      </c>
      <c r="AL274" s="13"/>
      <c r="AM274" s="13">
        <v>0.54914067983627302</v>
      </c>
      <c r="AN274">
        <v>4.1525372092054397E-2</v>
      </c>
      <c r="AS274">
        <v>0.32974641544685701</v>
      </c>
      <c r="AU274" s="13"/>
    </row>
    <row r="275" spans="1:47" ht="16" x14ac:dyDescent="0.25">
      <c r="A275" s="9" t="s">
        <v>59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0</v>
      </c>
      <c r="O275">
        <v>0</v>
      </c>
      <c r="P275">
        <v>1</v>
      </c>
      <c r="Q275">
        <v>1</v>
      </c>
      <c r="R275">
        <v>1</v>
      </c>
      <c r="S275">
        <v>0</v>
      </c>
      <c r="T275">
        <v>1</v>
      </c>
      <c r="U275">
        <v>1</v>
      </c>
      <c r="V275">
        <v>1</v>
      </c>
      <c r="W275">
        <v>1</v>
      </c>
      <c r="X275">
        <v>0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0.24079649550767129</v>
      </c>
      <c r="AE275">
        <v>1.752340028688552E-2</v>
      </c>
      <c r="AF275">
        <v>7.2772654975484308</v>
      </c>
      <c r="AH275">
        <f t="shared" si="4"/>
        <v>0.24079649550767129</v>
      </c>
      <c r="AJ275">
        <v>0.24319915473461101</v>
      </c>
      <c r="AK275">
        <v>2.81469579786062E-2</v>
      </c>
      <c r="AL275" s="13"/>
      <c r="AM275" s="13">
        <v>0.379131174087524</v>
      </c>
      <c r="AN275">
        <v>4.1662126359613402E-2</v>
      </c>
      <c r="AS275">
        <v>0.53627484423273897</v>
      </c>
      <c r="AU275" s="13"/>
    </row>
    <row r="276" spans="1:47" ht="16" x14ac:dyDescent="0.25">
      <c r="A276" s="9" t="s">
        <v>64</v>
      </c>
      <c r="B276">
        <v>0</v>
      </c>
      <c r="C276">
        <v>0</v>
      </c>
      <c r="D276">
        <v>0</v>
      </c>
      <c r="E276">
        <v>1</v>
      </c>
      <c r="F276">
        <v>0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0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0.48956498819966932</v>
      </c>
      <c r="AE276">
        <v>3.2320943971148812E-2</v>
      </c>
      <c r="AF276">
        <v>6.6019721079332374</v>
      </c>
      <c r="AH276">
        <f t="shared" si="4"/>
        <v>0.48956498819966932</v>
      </c>
      <c r="AJ276">
        <v>0.47985395789146401</v>
      </c>
      <c r="AK276">
        <v>2.06320695579051E-2</v>
      </c>
      <c r="AL276" s="13"/>
      <c r="AM276" s="13">
        <v>0.55101708173751796</v>
      </c>
      <c r="AN276">
        <v>2.3766086444925501E-2</v>
      </c>
      <c r="AS276">
        <v>0.46897489226108502</v>
      </c>
      <c r="AU276" s="13"/>
    </row>
    <row r="277" spans="1:47" ht="16" x14ac:dyDescent="0.25">
      <c r="A277" s="9" t="s">
        <v>65</v>
      </c>
      <c r="B277">
        <v>0</v>
      </c>
      <c r="C277">
        <v>0</v>
      </c>
      <c r="D277">
        <v>0</v>
      </c>
      <c r="E277">
        <v>1</v>
      </c>
      <c r="F277">
        <v>0</v>
      </c>
      <c r="G277">
        <v>1</v>
      </c>
      <c r="H277">
        <v>1</v>
      </c>
      <c r="I277">
        <v>0</v>
      </c>
      <c r="J277">
        <v>1</v>
      </c>
      <c r="K277">
        <v>1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1</v>
      </c>
      <c r="U277">
        <v>1</v>
      </c>
      <c r="V277">
        <v>1</v>
      </c>
      <c r="W277">
        <v>1</v>
      </c>
      <c r="X277">
        <v>0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8.4458622385350957E-2</v>
      </c>
      <c r="AE277">
        <v>5.1345086589084481E-3</v>
      </c>
      <c r="AF277">
        <v>6.0793185040145881</v>
      </c>
      <c r="AH277">
        <f t="shared" si="4"/>
        <v>8.4458622385350957E-2</v>
      </c>
      <c r="AJ277">
        <v>9.01948437094688E-2</v>
      </c>
      <c r="AK277">
        <v>4.40690778195858E-2</v>
      </c>
      <c r="AL277" s="13"/>
      <c r="AM277" s="13">
        <v>0.25800630152225401</v>
      </c>
      <c r="AN277">
        <v>3.8973370977860002E-2</v>
      </c>
      <c r="AS277">
        <v>0.61458123176700696</v>
      </c>
      <c r="AU277" s="13"/>
    </row>
    <row r="278" spans="1:47" ht="16" x14ac:dyDescent="0.25">
      <c r="A278" s="9" t="s">
        <v>66</v>
      </c>
      <c r="B278">
        <v>0</v>
      </c>
      <c r="C278">
        <v>0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1</v>
      </c>
      <c r="K278">
        <v>1</v>
      </c>
      <c r="L278">
        <v>1</v>
      </c>
      <c r="M278">
        <v>0</v>
      </c>
      <c r="N278">
        <v>1</v>
      </c>
      <c r="O278">
        <v>1</v>
      </c>
      <c r="P278">
        <v>0</v>
      </c>
      <c r="Q278">
        <v>0</v>
      </c>
      <c r="R278">
        <v>0</v>
      </c>
      <c r="S278">
        <v>1</v>
      </c>
      <c r="T278">
        <v>1</v>
      </c>
      <c r="U278">
        <v>1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0.64234369335159602</v>
      </c>
      <c r="AE278">
        <v>6.6835276886838241E-2</v>
      </c>
      <c r="AF278">
        <v>10.404909019672591</v>
      </c>
      <c r="AH278">
        <f t="shared" si="4"/>
        <v>0.64234369335159602</v>
      </c>
      <c r="AJ278">
        <v>0.62396466732025102</v>
      </c>
      <c r="AK278">
        <v>1.56198926270008E-2</v>
      </c>
      <c r="AL278" s="13"/>
      <c r="AM278" s="13">
        <v>0.54347034692764196</v>
      </c>
      <c r="AN278">
        <v>2.9791243793042599E-2</v>
      </c>
      <c r="AS278">
        <v>0.40906764430189302</v>
      </c>
      <c r="AU278" s="13"/>
    </row>
    <row r="279" spans="1:47" ht="16" x14ac:dyDescent="0.25">
      <c r="A279" s="9" t="s">
        <v>67</v>
      </c>
      <c r="B279">
        <v>0</v>
      </c>
      <c r="C279">
        <v>0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1</v>
      </c>
      <c r="K279">
        <v>1</v>
      </c>
      <c r="L279">
        <v>1</v>
      </c>
      <c r="M279">
        <v>0</v>
      </c>
      <c r="N279">
        <v>1</v>
      </c>
      <c r="O279">
        <v>1</v>
      </c>
      <c r="P279">
        <v>0</v>
      </c>
      <c r="Q279">
        <v>0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0.70204597811353231</v>
      </c>
      <c r="AE279">
        <v>4.3776319021094613E-2</v>
      </c>
      <c r="AF279">
        <v>6.2355344786285869</v>
      </c>
      <c r="AH279">
        <f t="shared" si="4"/>
        <v>0.70204597811353231</v>
      </c>
      <c r="AJ279">
        <v>0.66297155618667603</v>
      </c>
      <c r="AK279">
        <v>2.5726784020662301E-2</v>
      </c>
      <c r="AL279" s="13"/>
      <c r="AM279" s="13">
        <v>0.52980284094810404</v>
      </c>
      <c r="AN279">
        <v>3.55046454191403E-2</v>
      </c>
      <c r="AS279">
        <v>0.42068643547426399</v>
      </c>
      <c r="AU279" s="13"/>
    </row>
    <row r="280" spans="1:47" ht="16" x14ac:dyDescent="0.25">
      <c r="A280" s="9" t="s">
        <v>69</v>
      </c>
      <c r="B280">
        <v>0</v>
      </c>
      <c r="C280">
        <v>0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1</v>
      </c>
      <c r="K280">
        <v>1</v>
      </c>
      <c r="L280">
        <v>1</v>
      </c>
      <c r="M280">
        <v>0</v>
      </c>
      <c r="N280">
        <v>1</v>
      </c>
      <c r="O280">
        <v>1</v>
      </c>
      <c r="P280">
        <v>0</v>
      </c>
      <c r="Q280">
        <v>0</v>
      </c>
      <c r="R280">
        <v>0</v>
      </c>
      <c r="S280">
        <v>1</v>
      </c>
      <c r="T280">
        <v>1</v>
      </c>
      <c r="U280">
        <v>1</v>
      </c>
      <c r="V280">
        <v>0</v>
      </c>
      <c r="W280">
        <v>0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0.44535841238372359</v>
      </c>
      <c r="AE280">
        <v>3.564509227167733E-2</v>
      </c>
      <c r="AF280">
        <v>8.0036867566712306</v>
      </c>
      <c r="AH280">
        <f t="shared" si="4"/>
        <v>0.44535841238372359</v>
      </c>
      <c r="AJ280">
        <v>0.489938884973526</v>
      </c>
      <c r="AK280">
        <v>4.2057768441736698E-3</v>
      </c>
      <c r="AL280" s="13"/>
      <c r="AM280" s="13">
        <v>0.52586826682090704</v>
      </c>
      <c r="AN280">
        <v>2.5439687415730598E-2</v>
      </c>
      <c r="AS280">
        <v>0.54205138869618497</v>
      </c>
      <c r="AU280" s="13"/>
    </row>
    <row r="281" spans="1:47" ht="16" x14ac:dyDescent="0.25">
      <c r="A281" s="9" t="s">
        <v>70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0</v>
      </c>
      <c r="O281">
        <v>0</v>
      </c>
      <c r="P281">
        <v>1</v>
      </c>
      <c r="Q281">
        <v>1</v>
      </c>
      <c r="R281">
        <v>0</v>
      </c>
      <c r="S281">
        <v>0</v>
      </c>
      <c r="T281">
        <v>1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7.4563506311372332E-2</v>
      </c>
      <c r="AE281">
        <v>1.5037073205719309E-3</v>
      </c>
      <c r="AF281">
        <v>2.0166800020006401</v>
      </c>
      <c r="AH281">
        <f t="shared" si="4"/>
        <v>7.4563506311372332E-2</v>
      </c>
      <c r="AJ281">
        <v>4.7556269913911799E-2</v>
      </c>
      <c r="AK281">
        <v>3.2945327460765797E-2</v>
      </c>
      <c r="AL281" s="13"/>
      <c r="AM281" s="13">
        <v>0.29850772917270602</v>
      </c>
      <c r="AN281">
        <v>4.5645102247982197E-2</v>
      </c>
      <c r="AS281">
        <v>0.39340357575880802</v>
      </c>
      <c r="AU281" s="13"/>
    </row>
  </sheetData>
  <sortState xmlns:xlrd2="http://schemas.microsoft.com/office/spreadsheetml/2017/richdata2" ref="AV2:AV283">
    <sortCondition ref="AV2:AV283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46"/>
  <sheetViews>
    <sheetView topLeftCell="A85" zoomScale="60" zoomScaleNormal="60" workbookViewId="0">
      <selection activeCell="AE361" sqref="AE361"/>
    </sheetView>
  </sheetViews>
  <sheetFormatPr baseColWidth="10" defaultRowHeight="15" x14ac:dyDescent="0.2"/>
  <cols>
    <col min="34" max="34" width="14.1640625" bestFit="1" customWidth="1"/>
  </cols>
  <sheetData>
    <row r="1" spans="1:36" ht="15" customHeight="1" thickBot="1" x14ac:dyDescent="0.25"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</row>
    <row r="2" spans="1:36" x14ac:dyDescent="0.2">
      <c r="A2" s="4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0.48833074579750868</v>
      </c>
      <c r="AE2">
        <v>1.294272130234661E-2</v>
      </c>
      <c r="AF2">
        <f t="shared" ref="AF2:AF65" si="0">100*AE2/AD2</f>
        <v>2.6504006585146378</v>
      </c>
      <c r="AG2" t="b">
        <f t="shared" ref="AG2:AG65" si="1">(AF2&lt;15)</f>
        <v>1</v>
      </c>
    </row>
    <row r="3" spans="1:36" x14ac:dyDescent="0.2">
      <c r="A3" s="4">
        <v>2</v>
      </c>
      <c r="B3">
        <v>1</v>
      </c>
      <c r="C3">
        <v>0</v>
      </c>
      <c r="D3">
        <v>0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1.046107859519753</v>
      </c>
      <c r="AE3">
        <v>0.13564968058771079</v>
      </c>
      <c r="AF3">
        <f t="shared" si="0"/>
        <v>12.967083590212658</v>
      </c>
      <c r="AG3" t="b">
        <f t="shared" si="1"/>
        <v>1</v>
      </c>
    </row>
    <row r="4" spans="1:36" x14ac:dyDescent="0.2">
      <c r="A4" s="4">
        <v>3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0.50426770864142212</v>
      </c>
      <c r="AE4">
        <v>2.036184534790964E-3</v>
      </c>
      <c r="AF4">
        <f t="shared" si="0"/>
        <v>0.40379038750602747</v>
      </c>
      <c r="AG4" t="b">
        <f t="shared" si="1"/>
        <v>1</v>
      </c>
    </row>
    <row r="5" spans="1:36" x14ac:dyDescent="0.2">
      <c r="A5" s="4">
        <v>4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0.49218683785294132</v>
      </c>
      <c r="AE5">
        <v>1.5649102623345939E-2</v>
      </c>
      <c r="AF5">
        <f t="shared" si="0"/>
        <v>3.1795044929709548</v>
      </c>
      <c r="AG5" t="b">
        <f t="shared" si="1"/>
        <v>1</v>
      </c>
    </row>
    <row r="6" spans="1:36" x14ac:dyDescent="0.2">
      <c r="A6" s="4">
        <v>5</v>
      </c>
      <c r="B6">
        <v>1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0.51014969327298154</v>
      </c>
      <c r="AE6">
        <v>2.5993188017183928E-2</v>
      </c>
      <c r="AF6">
        <f t="shared" si="0"/>
        <v>5.0952080065791492</v>
      </c>
      <c r="AG6" t="b">
        <f t="shared" si="1"/>
        <v>1</v>
      </c>
    </row>
    <row r="7" spans="1:36" x14ac:dyDescent="0.2">
      <c r="A7" s="4">
        <v>6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1</v>
      </c>
      <c r="Q7">
        <v>1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0.60947827119035713</v>
      </c>
      <c r="AE7">
        <v>2.1816346986065271E-2</v>
      </c>
      <c r="AF7">
        <f t="shared" si="0"/>
        <v>3.5795118574869447</v>
      </c>
      <c r="AG7" t="b">
        <f t="shared" si="1"/>
        <v>1</v>
      </c>
    </row>
    <row r="8" spans="1:36" x14ac:dyDescent="0.2">
      <c r="A8" s="4">
        <v>7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0.61398404002864582</v>
      </c>
      <c r="AE8">
        <v>7.9847201489404197E-3</v>
      </c>
      <c r="AF8">
        <f t="shared" si="0"/>
        <v>1.3004768248646801</v>
      </c>
      <c r="AG8" t="b">
        <f t="shared" si="1"/>
        <v>1</v>
      </c>
    </row>
    <row r="9" spans="1:36" x14ac:dyDescent="0.2">
      <c r="A9" s="4">
        <v>8</v>
      </c>
      <c r="B9">
        <v>1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U9">
        <v>0</v>
      </c>
      <c r="V9">
        <v>1</v>
      </c>
      <c r="W9">
        <v>1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0.70099104932274758</v>
      </c>
      <c r="AE9">
        <v>8.3358417933041972E-4</v>
      </c>
      <c r="AF9">
        <f t="shared" si="0"/>
        <v>0.11891509601096548</v>
      </c>
      <c r="AG9" t="b">
        <f t="shared" si="1"/>
        <v>1</v>
      </c>
    </row>
    <row r="10" spans="1:36" x14ac:dyDescent="0.2">
      <c r="A10" s="4">
        <v>9</v>
      </c>
      <c r="B10">
        <v>1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1</v>
      </c>
      <c r="J10">
        <v>0</v>
      </c>
      <c r="K10">
        <v>0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0.68067674971561176</v>
      </c>
      <c r="AE10">
        <v>1.9529144270645341E-2</v>
      </c>
      <c r="AF10">
        <f t="shared" si="0"/>
        <v>2.8690776170634096</v>
      </c>
      <c r="AG10" t="b">
        <f t="shared" si="1"/>
        <v>1</v>
      </c>
    </row>
    <row r="11" spans="1:36" x14ac:dyDescent="0.2">
      <c r="A11" s="4">
        <v>10</v>
      </c>
      <c r="B11">
        <v>1</v>
      </c>
      <c r="C11">
        <v>0</v>
      </c>
      <c r="D11">
        <v>0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0.91963537180985044</v>
      </c>
      <c r="AE11">
        <v>1.179589903613219E-2</v>
      </c>
      <c r="AF11">
        <f t="shared" si="0"/>
        <v>1.2826713062284409</v>
      </c>
      <c r="AG11" t="b">
        <f t="shared" si="1"/>
        <v>1</v>
      </c>
    </row>
    <row r="12" spans="1:36" x14ac:dyDescent="0.2">
      <c r="A12" s="4">
        <v>11</v>
      </c>
      <c r="B12">
        <v>1</v>
      </c>
      <c r="C12">
        <v>0</v>
      </c>
      <c r="D12">
        <v>0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0</v>
      </c>
      <c r="AB12">
        <v>0</v>
      </c>
      <c r="AC12">
        <v>0</v>
      </c>
      <c r="AD12">
        <v>0.8090858421189342</v>
      </c>
      <c r="AE12">
        <v>7.450924975955997E-2</v>
      </c>
      <c r="AF12">
        <f t="shared" si="0"/>
        <v>9.2090660694823097</v>
      </c>
      <c r="AG12" t="b">
        <f t="shared" si="1"/>
        <v>1</v>
      </c>
    </row>
    <row r="13" spans="1:36" x14ac:dyDescent="0.2">
      <c r="A13" s="4">
        <v>12</v>
      </c>
      <c r="B13">
        <v>1</v>
      </c>
      <c r="C13">
        <v>0</v>
      </c>
      <c r="D13">
        <v>0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0</v>
      </c>
      <c r="Z13">
        <v>0</v>
      </c>
      <c r="AA13">
        <v>1</v>
      </c>
      <c r="AB13">
        <v>1</v>
      </c>
      <c r="AC13">
        <v>1</v>
      </c>
      <c r="AD13">
        <v>0.99257634240671322</v>
      </c>
      <c r="AE13">
        <v>9.9051471933741999E-3</v>
      </c>
      <c r="AF13">
        <f t="shared" si="0"/>
        <v>0.99792295767971417</v>
      </c>
      <c r="AG13" t="b">
        <f t="shared" si="1"/>
        <v>1</v>
      </c>
    </row>
    <row r="14" spans="1:36" x14ac:dyDescent="0.2">
      <c r="A14" s="4">
        <v>13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1</v>
      </c>
      <c r="AA14">
        <v>0</v>
      </c>
      <c r="AB14">
        <v>0</v>
      </c>
      <c r="AC14">
        <v>0</v>
      </c>
      <c r="AD14">
        <v>0.45781741412090182</v>
      </c>
      <c r="AE14">
        <v>9.2264707449338876E-3</v>
      </c>
      <c r="AF14">
        <f t="shared" si="0"/>
        <v>2.0153166874725592</v>
      </c>
      <c r="AG14" t="b">
        <f t="shared" si="1"/>
        <v>1</v>
      </c>
    </row>
    <row r="15" spans="1:36" x14ac:dyDescent="0.2">
      <c r="A15" s="4">
        <v>14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1</v>
      </c>
      <c r="AC15">
        <v>1</v>
      </c>
      <c r="AD15">
        <v>0.66220015113446673</v>
      </c>
      <c r="AE15">
        <v>1.279854830003236E-2</v>
      </c>
      <c r="AF15">
        <f t="shared" si="0"/>
        <v>1.932731105256646</v>
      </c>
      <c r="AG15" t="b">
        <f t="shared" si="1"/>
        <v>1</v>
      </c>
    </row>
    <row r="16" spans="1:36" x14ac:dyDescent="0.2">
      <c r="A16" s="4">
        <v>15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1</v>
      </c>
      <c r="AA16">
        <v>1</v>
      </c>
      <c r="AB16">
        <v>1</v>
      </c>
      <c r="AC16">
        <v>1</v>
      </c>
      <c r="AD16">
        <v>0.61553955184225317</v>
      </c>
      <c r="AE16">
        <v>7.6625200412675551E-2</v>
      </c>
      <c r="AF16">
        <f t="shared" si="0"/>
        <v>12.448460896354002</v>
      </c>
      <c r="AG16" t="b">
        <f t="shared" si="1"/>
        <v>1</v>
      </c>
    </row>
    <row r="17" spans="1:33" x14ac:dyDescent="0.2">
      <c r="A17" s="4">
        <v>16</v>
      </c>
      <c r="B17">
        <v>1</v>
      </c>
      <c r="C17">
        <v>0</v>
      </c>
      <c r="D17">
        <v>0</v>
      </c>
      <c r="E17">
        <v>1</v>
      </c>
      <c r="F17">
        <v>0</v>
      </c>
      <c r="G17">
        <v>1</v>
      </c>
      <c r="H17">
        <v>1</v>
      </c>
      <c r="I17">
        <v>0</v>
      </c>
      <c r="J17">
        <v>1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0.56141992478552716</v>
      </c>
      <c r="AE17">
        <v>2.754041117373833E-2</v>
      </c>
      <c r="AF17">
        <f t="shared" si="0"/>
        <v>4.9054922987030212</v>
      </c>
      <c r="AG17" t="b">
        <f t="shared" si="1"/>
        <v>1</v>
      </c>
    </row>
    <row r="18" spans="1:33" x14ac:dyDescent="0.2">
      <c r="A18" s="4">
        <v>17</v>
      </c>
      <c r="B18">
        <v>1</v>
      </c>
      <c r="C18">
        <v>0</v>
      </c>
      <c r="D18">
        <v>0</v>
      </c>
      <c r="E18">
        <v>1</v>
      </c>
      <c r="F18">
        <v>0</v>
      </c>
      <c r="G18">
        <v>1</v>
      </c>
      <c r="H18">
        <v>1</v>
      </c>
      <c r="I18">
        <v>0</v>
      </c>
      <c r="J18">
        <v>1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1</v>
      </c>
      <c r="U18">
        <v>1</v>
      </c>
      <c r="V18">
        <v>1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0.67664860998666376</v>
      </c>
      <c r="AE18">
        <v>1.6658018822296609E-2</v>
      </c>
      <c r="AF18">
        <f t="shared" si="0"/>
        <v>2.4618418742668999</v>
      </c>
      <c r="AG18" t="b">
        <f t="shared" si="1"/>
        <v>1</v>
      </c>
    </row>
    <row r="19" spans="1:33" x14ac:dyDescent="0.2">
      <c r="A19" s="4">
        <v>18</v>
      </c>
      <c r="B19">
        <v>1</v>
      </c>
      <c r="C19">
        <v>0</v>
      </c>
      <c r="D19">
        <v>0</v>
      </c>
      <c r="E19">
        <v>1</v>
      </c>
      <c r="F19">
        <v>0</v>
      </c>
      <c r="G19">
        <v>1</v>
      </c>
      <c r="H19">
        <v>1</v>
      </c>
      <c r="I19">
        <v>0</v>
      </c>
      <c r="J19">
        <v>1</v>
      </c>
      <c r="K19">
        <v>1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1</v>
      </c>
      <c r="U19">
        <v>1</v>
      </c>
      <c r="V19">
        <v>1</v>
      </c>
      <c r="W19">
        <v>1</v>
      </c>
      <c r="X19">
        <v>0</v>
      </c>
      <c r="Y19">
        <v>1</v>
      </c>
      <c r="Z19">
        <v>1</v>
      </c>
      <c r="AA19">
        <v>1</v>
      </c>
      <c r="AB19">
        <v>1</v>
      </c>
      <c r="AC19">
        <v>1</v>
      </c>
      <c r="AD19">
        <v>0.64984438748385964</v>
      </c>
      <c r="AE19">
        <v>2.0821699580131181E-3</v>
      </c>
      <c r="AF19">
        <f t="shared" si="0"/>
        <v>0.32041054721963474</v>
      </c>
      <c r="AG19" t="b">
        <f t="shared" si="1"/>
        <v>1</v>
      </c>
    </row>
    <row r="20" spans="1:33" x14ac:dyDescent="0.2">
      <c r="A20" s="4">
        <v>19</v>
      </c>
      <c r="B20">
        <v>1</v>
      </c>
      <c r="C20">
        <v>0</v>
      </c>
      <c r="D20">
        <v>0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0</v>
      </c>
      <c r="Y20">
        <v>1</v>
      </c>
      <c r="Z20">
        <v>1</v>
      </c>
      <c r="AA20">
        <v>1</v>
      </c>
      <c r="AB20">
        <v>1</v>
      </c>
      <c r="AC20">
        <v>1</v>
      </c>
      <c r="AD20">
        <v>0.78046175667533335</v>
      </c>
      <c r="AE20">
        <v>2.6038343250464141E-2</v>
      </c>
      <c r="AF20">
        <f t="shared" si="0"/>
        <v>3.3362740746432129</v>
      </c>
      <c r="AG20" t="b">
        <f t="shared" si="1"/>
        <v>1</v>
      </c>
    </row>
    <row r="21" spans="1:33" x14ac:dyDescent="0.2">
      <c r="A21" s="4">
        <v>11</v>
      </c>
      <c r="B21">
        <v>1</v>
      </c>
      <c r="C21">
        <v>0</v>
      </c>
      <c r="D21">
        <v>0</v>
      </c>
      <c r="E21">
        <v>1</v>
      </c>
      <c r="F21">
        <v>0</v>
      </c>
      <c r="G21">
        <v>1</v>
      </c>
      <c r="H21">
        <v>1</v>
      </c>
      <c r="I21">
        <v>0</v>
      </c>
      <c r="J21">
        <v>1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0.56668748806397828</v>
      </c>
      <c r="AE21">
        <v>4.4452682561833979E-3</v>
      </c>
      <c r="AF21">
        <f t="shared" si="0"/>
        <v>0.78443028120669089</v>
      </c>
      <c r="AG21" t="b">
        <f t="shared" si="1"/>
        <v>1</v>
      </c>
    </row>
    <row r="22" spans="1:33" x14ac:dyDescent="0.2">
      <c r="A22" s="4">
        <v>12</v>
      </c>
      <c r="B22">
        <v>1</v>
      </c>
      <c r="C22">
        <v>0</v>
      </c>
      <c r="D22">
        <v>0</v>
      </c>
      <c r="E22">
        <v>1</v>
      </c>
      <c r="F22">
        <v>1</v>
      </c>
      <c r="G22">
        <v>1</v>
      </c>
      <c r="H22">
        <v>1</v>
      </c>
      <c r="I22">
        <v>0</v>
      </c>
      <c r="J22">
        <v>1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1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0.61833377633816888</v>
      </c>
      <c r="AE22">
        <v>7.2754748017715212E-3</v>
      </c>
      <c r="AF22">
        <f t="shared" si="0"/>
        <v>1.1766258095841975</v>
      </c>
      <c r="AG22" t="b">
        <f t="shared" si="1"/>
        <v>1</v>
      </c>
    </row>
    <row r="23" spans="1:33" x14ac:dyDescent="0.2">
      <c r="A23" s="4">
        <v>13</v>
      </c>
      <c r="B23">
        <v>1</v>
      </c>
      <c r="C23">
        <v>0</v>
      </c>
      <c r="D23">
        <v>0</v>
      </c>
      <c r="E23">
        <v>1</v>
      </c>
      <c r="F23">
        <v>1</v>
      </c>
      <c r="G23">
        <v>1</v>
      </c>
      <c r="H23">
        <v>1</v>
      </c>
      <c r="I23">
        <v>0</v>
      </c>
      <c r="J23">
        <v>1</v>
      </c>
      <c r="K23">
        <v>1</v>
      </c>
      <c r="L23">
        <v>1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1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0.69283823321435922</v>
      </c>
      <c r="AE23">
        <v>7.7279653570898983E-3</v>
      </c>
      <c r="AF23">
        <f t="shared" si="0"/>
        <v>1.1154068852748953</v>
      </c>
      <c r="AG23" t="b">
        <f t="shared" si="1"/>
        <v>1</v>
      </c>
    </row>
    <row r="24" spans="1:33" x14ac:dyDescent="0.2">
      <c r="A24" s="4">
        <v>14</v>
      </c>
      <c r="B24">
        <v>1</v>
      </c>
      <c r="C24">
        <v>0</v>
      </c>
      <c r="D24">
        <v>0</v>
      </c>
      <c r="E24">
        <v>1</v>
      </c>
      <c r="F24">
        <v>1</v>
      </c>
      <c r="G24">
        <v>1</v>
      </c>
      <c r="H24">
        <v>1</v>
      </c>
      <c r="I24">
        <v>0</v>
      </c>
      <c r="J24">
        <v>1</v>
      </c>
      <c r="K24">
        <v>1</v>
      </c>
      <c r="L24">
        <v>1</v>
      </c>
      <c r="M24">
        <v>0</v>
      </c>
      <c r="N24">
        <v>1</v>
      </c>
      <c r="O24">
        <v>1</v>
      </c>
      <c r="P24">
        <v>1</v>
      </c>
      <c r="Q24">
        <v>0</v>
      </c>
      <c r="R24">
        <v>0</v>
      </c>
      <c r="S24">
        <v>1</v>
      </c>
      <c r="T24">
        <v>1</v>
      </c>
      <c r="U24">
        <v>1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0.71449591853721695</v>
      </c>
      <c r="AE24">
        <v>9.8694181004846913E-3</v>
      </c>
      <c r="AF24">
        <f t="shared" si="0"/>
        <v>1.3813120333409727</v>
      </c>
      <c r="AG24" t="b">
        <f t="shared" si="1"/>
        <v>1</v>
      </c>
    </row>
    <row r="25" spans="1:33" x14ac:dyDescent="0.2">
      <c r="A25" s="4">
        <v>15</v>
      </c>
      <c r="B25">
        <v>1</v>
      </c>
      <c r="C25">
        <v>0</v>
      </c>
      <c r="D25">
        <v>0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0</v>
      </c>
      <c r="N25">
        <v>1</v>
      </c>
      <c r="O25">
        <v>1</v>
      </c>
      <c r="P25">
        <v>1</v>
      </c>
      <c r="Q25">
        <v>1</v>
      </c>
      <c r="R25">
        <v>0</v>
      </c>
      <c r="S25">
        <v>1</v>
      </c>
      <c r="T25">
        <v>1</v>
      </c>
      <c r="U25">
        <v>1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0.81047235421136421</v>
      </c>
      <c r="AE25">
        <v>8.8868664621583552E-3</v>
      </c>
      <c r="AF25">
        <f t="shared" si="0"/>
        <v>1.0965045773591848</v>
      </c>
      <c r="AG25" t="b">
        <f t="shared" si="1"/>
        <v>1</v>
      </c>
    </row>
    <row r="26" spans="1:33" x14ac:dyDescent="0.2">
      <c r="A26" s="4">
        <v>16</v>
      </c>
      <c r="B26">
        <v>1</v>
      </c>
      <c r="C26">
        <v>0</v>
      </c>
      <c r="D26">
        <v>0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0</v>
      </c>
      <c r="S26">
        <v>1</v>
      </c>
      <c r="T26">
        <v>1</v>
      </c>
      <c r="U26">
        <v>1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0.77539254520150536</v>
      </c>
      <c r="AE26">
        <v>2.356014299132036E-3</v>
      </c>
      <c r="AF26">
        <f t="shared" si="0"/>
        <v>0.30384794304667528</v>
      </c>
      <c r="AG26" t="b">
        <f t="shared" si="1"/>
        <v>1</v>
      </c>
    </row>
    <row r="27" spans="1:33" x14ac:dyDescent="0.2">
      <c r="A27" s="4">
        <v>17</v>
      </c>
      <c r="B27">
        <v>1</v>
      </c>
      <c r="C27">
        <v>0</v>
      </c>
      <c r="D27">
        <v>0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0.89535173110766131</v>
      </c>
      <c r="AE27">
        <v>1.996712324977687E-3</v>
      </c>
      <c r="AF27">
        <f t="shared" si="0"/>
        <v>0.22300870770724995</v>
      </c>
      <c r="AG27" t="b">
        <f t="shared" si="1"/>
        <v>1</v>
      </c>
    </row>
    <row r="28" spans="1:33" x14ac:dyDescent="0.2">
      <c r="A28" s="4">
        <v>18</v>
      </c>
      <c r="B28">
        <v>1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1</v>
      </c>
      <c r="J28">
        <v>1</v>
      </c>
      <c r="K28">
        <v>1</v>
      </c>
      <c r="L28">
        <v>0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0</v>
      </c>
      <c r="U28">
        <v>0</v>
      </c>
      <c r="V28">
        <v>1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0.71727603293879927</v>
      </c>
      <c r="AE28">
        <v>8.2142811712026149E-3</v>
      </c>
      <c r="AF28">
        <f t="shared" si="0"/>
        <v>1.1452050248420178</v>
      </c>
      <c r="AG28" t="b">
        <f t="shared" si="1"/>
        <v>1</v>
      </c>
    </row>
    <row r="29" spans="1:33" x14ac:dyDescent="0.2">
      <c r="A29" s="4">
        <v>19</v>
      </c>
      <c r="B29">
        <v>1</v>
      </c>
      <c r="C29">
        <v>0</v>
      </c>
      <c r="D29">
        <v>0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0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0</v>
      </c>
      <c r="U29">
        <v>0</v>
      </c>
      <c r="V29">
        <v>1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0.79982916715691099</v>
      </c>
      <c r="AE29">
        <v>1.513290721599023E-2</v>
      </c>
      <c r="AF29">
        <f t="shared" si="0"/>
        <v>1.8920174253937212</v>
      </c>
      <c r="AG29" t="b">
        <f t="shared" si="1"/>
        <v>1</v>
      </c>
    </row>
    <row r="30" spans="1:33" x14ac:dyDescent="0.2">
      <c r="A30" s="4">
        <v>20</v>
      </c>
      <c r="B30">
        <v>1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0.79114492981941831</v>
      </c>
      <c r="AE30">
        <v>5.8936630547841134E-3</v>
      </c>
      <c r="AF30">
        <f t="shared" si="0"/>
        <v>0.74495365294565719</v>
      </c>
      <c r="AG30" t="b">
        <f t="shared" si="1"/>
        <v>1</v>
      </c>
    </row>
    <row r="31" spans="1:33" x14ac:dyDescent="0.2">
      <c r="A31" s="4">
        <v>21</v>
      </c>
      <c r="B31">
        <v>1</v>
      </c>
      <c r="C31">
        <v>0</v>
      </c>
      <c r="D31">
        <v>0</v>
      </c>
      <c r="E31">
        <v>1</v>
      </c>
      <c r="F31">
        <v>1</v>
      </c>
      <c r="G31">
        <v>1</v>
      </c>
      <c r="H31">
        <v>1</v>
      </c>
      <c r="I31">
        <v>1</v>
      </c>
      <c r="J31">
        <v>0</v>
      </c>
      <c r="K31">
        <v>0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0.79328377247140092</v>
      </c>
      <c r="AE31">
        <v>1.5457630803294761E-2</v>
      </c>
      <c r="AF31">
        <f t="shared" si="0"/>
        <v>1.9485625875262726</v>
      </c>
      <c r="AG31" t="b">
        <f t="shared" si="1"/>
        <v>1</v>
      </c>
    </row>
    <row r="32" spans="1:33" x14ac:dyDescent="0.2">
      <c r="A32" s="4">
        <v>22</v>
      </c>
      <c r="B32">
        <v>1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1</v>
      </c>
      <c r="J32">
        <v>0</v>
      </c>
      <c r="K32">
        <v>0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0.73468166680242442</v>
      </c>
      <c r="AE32">
        <v>1.545054726564961E-2</v>
      </c>
      <c r="AF32">
        <f t="shared" si="0"/>
        <v>2.1030261082865263</v>
      </c>
      <c r="AG32" t="b">
        <f t="shared" si="1"/>
        <v>1</v>
      </c>
    </row>
    <row r="33" spans="1:33" x14ac:dyDescent="0.2">
      <c r="A33" s="4">
        <v>23</v>
      </c>
      <c r="B33">
        <v>1</v>
      </c>
      <c r="C33">
        <v>0</v>
      </c>
      <c r="D33">
        <v>0</v>
      </c>
      <c r="E33">
        <v>1</v>
      </c>
      <c r="F33">
        <v>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0</v>
      </c>
      <c r="O33">
        <v>0</v>
      </c>
      <c r="P33">
        <v>0</v>
      </c>
      <c r="Q33">
        <v>1</v>
      </c>
      <c r="R33">
        <v>1</v>
      </c>
      <c r="S33">
        <v>0</v>
      </c>
      <c r="T33">
        <v>1</v>
      </c>
      <c r="U33">
        <v>1</v>
      </c>
      <c r="V33">
        <v>1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0.82911231565100518</v>
      </c>
      <c r="AE33">
        <v>0.1095793548520949</v>
      </c>
      <c r="AF33">
        <f t="shared" si="0"/>
        <v>13.216466910885892</v>
      </c>
      <c r="AG33" t="b">
        <f t="shared" si="1"/>
        <v>1</v>
      </c>
    </row>
    <row r="34" spans="1:33" x14ac:dyDescent="0.2">
      <c r="A34" s="4">
        <v>24</v>
      </c>
      <c r="B34">
        <v>1</v>
      </c>
      <c r="C34">
        <v>0</v>
      </c>
      <c r="D34">
        <v>0</v>
      </c>
      <c r="E34">
        <v>1</v>
      </c>
      <c r="F34">
        <v>1</v>
      </c>
      <c r="G34">
        <v>1</v>
      </c>
      <c r="H34">
        <v>1</v>
      </c>
      <c r="I34">
        <v>0</v>
      </c>
      <c r="J34">
        <v>1</v>
      </c>
      <c r="K34">
        <v>1</v>
      </c>
      <c r="L34">
        <v>1</v>
      </c>
      <c r="M34">
        <v>0</v>
      </c>
      <c r="N34">
        <v>1</v>
      </c>
      <c r="O34">
        <v>1</v>
      </c>
      <c r="P34">
        <v>1</v>
      </c>
      <c r="Q34">
        <v>0</v>
      </c>
      <c r="R34">
        <v>0</v>
      </c>
      <c r="S34">
        <v>1</v>
      </c>
      <c r="T34">
        <v>1</v>
      </c>
      <c r="U34">
        <v>1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0.71107327418182731</v>
      </c>
      <c r="AE34">
        <v>1.0380259352034529E-2</v>
      </c>
      <c r="AF34">
        <f t="shared" si="0"/>
        <v>1.4598016447711704</v>
      </c>
      <c r="AG34" t="b">
        <f t="shared" si="1"/>
        <v>1</v>
      </c>
    </row>
    <row r="35" spans="1:33" x14ac:dyDescent="0.2">
      <c r="A35" s="4">
        <v>25</v>
      </c>
      <c r="B35">
        <v>1</v>
      </c>
      <c r="C35">
        <v>0</v>
      </c>
      <c r="D35">
        <v>0</v>
      </c>
      <c r="E35">
        <v>1</v>
      </c>
      <c r="F35">
        <v>1</v>
      </c>
      <c r="G35">
        <v>1</v>
      </c>
      <c r="H35">
        <v>1</v>
      </c>
      <c r="I35">
        <v>0</v>
      </c>
      <c r="J35">
        <v>1</v>
      </c>
      <c r="K35">
        <v>1</v>
      </c>
      <c r="L35">
        <v>0</v>
      </c>
      <c r="M35">
        <v>0</v>
      </c>
      <c r="N35">
        <v>1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0.67482654845865475</v>
      </c>
      <c r="AE35">
        <v>1.5412690854560329E-3</v>
      </c>
      <c r="AF35">
        <f t="shared" si="0"/>
        <v>0.22839485034730569</v>
      </c>
      <c r="AG35" t="b">
        <f t="shared" si="1"/>
        <v>1</v>
      </c>
    </row>
    <row r="36" spans="1:33" x14ac:dyDescent="0.2">
      <c r="A36" s="4">
        <v>26</v>
      </c>
      <c r="B36">
        <v>1</v>
      </c>
      <c r="C36">
        <v>0</v>
      </c>
      <c r="D36">
        <v>0</v>
      </c>
      <c r="E36">
        <v>1</v>
      </c>
      <c r="F36">
        <v>0</v>
      </c>
      <c r="G36">
        <v>1</v>
      </c>
      <c r="H36">
        <v>1</v>
      </c>
      <c r="I36">
        <v>1</v>
      </c>
      <c r="J36">
        <v>1</v>
      </c>
      <c r="K36">
        <v>1</v>
      </c>
      <c r="L36">
        <v>0</v>
      </c>
      <c r="M36">
        <v>1</v>
      </c>
      <c r="N36">
        <v>0</v>
      </c>
      <c r="O36">
        <v>0</v>
      </c>
      <c r="P36">
        <v>0</v>
      </c>
      <c r="Q36">
        <v>1</v>
      </c>
      <c r="R36">
        <v>1</v>
      </c>
      <c r="S36">
        <v>0</v>
      </c>
      <c r="T36">
        <v>0</v>
      </c>
      <c r="U36">
        <v>0</v>
      </c>
      <c r="V36">
        <v>1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0.71249366801890412</v>
      </c>
      <c r="AE36">
        <v>8.3843310799998863E-2</v>
      </c>
      <c r="AF36">
        <f t="shared" si="0"/>
        <v>11.767586795981787</v>
      </c>
      <c r="AG36" t="b">
        <f t="shared" si="1"/>
        <v>1</v>
      </c>
    </row>
    <row r="37" spans="1:33" x14ac:dyDescent="0.2">
      <c r="A37" s="4">
        <v>27</v>
      </c>
      <c r="B37">
        <v>1</v>
      </c>
      <c r="C37">
        <v>0</v>
      </c>
      <c r="D37">
        <v>0</v>
      </c>
      <c r="E37">
        <v>1</v>
      </c>
      <c r="F37">
        <v>1</v>
      </c>
      <c r="G37">
        <v>1</v>
      </c>
      <c r="H37">
        <v>1</v>
      </c>
      <c r="I37">
        <v>0</v>
      </c>
      <c r="J37">
        <v>0</v>
      </c>
      <c r="K37">
        <v>0</v>
      </c>
      <c r="L37">
        <v>1</v>
      </c>
      <c r="M37">
        <v>0</v>
      </c>
      <c r="N37">
        <v>1</v>
      </c>
      <c r="O37">
        <v>1</v>
      </c>
      <c r="P37">
        <v>1</v>
      </c>
      <c r="Q37">
        <v>0</v>
      </c>
      <c r="R37">
        <v>0</v>
      </c>
      <c r="S37">
        <v>1</v>
      </c>
      <c r="T37">
        <v>1</v>
      </c>
      <c r="U37">
        <v>1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0.51112711556377022</v>
      </c>
      <c r="AE37">
        <v>9.9003637157663894E-3</v>
      </c>
      <c r="AF37">
        <f t="shared" si="0"/>
        <v>1.9369670311555172</v>
      </c>
      <c r="AG37" t="b">
        <f t="shared" si="1"/>
        <v>1</v>
      </c>
    </row>
    <row r="38" spans="1:33" x14ac:dyDescent="0.2">
      <c r="A38" s="4">
        <v>28</v>
      </c>
      <c r="B38">
        <v>1</v>
      </c>
      <c r="C38">
        <v>0</v>
      </c>
      <c r="D38">
        <v>0</v>
      </c>
      <c r="E38">
        <v>1</v>
      </c>
      <c r="F38">
        <v>0</v>
      </c>
      <c r="G38">
        <v>1</v>
      </c>
      <c r="H38">
        <v>1</v>
      </c>
      <c r="I38">
        <v>1</v>
      </c>
      <c r="J38">
        <v>0</v>
      </c>
      <c r="K38">
        <v>0</v>
      </c>
      <c r="L38">
        <v>1</v>
      </c>
      <c r="M38">
        <v>1</v>
      </c>
      <c r="N38">
        <v>0</v>
      </c>
      <c r="O38">
        <v>0</v>
      </c>
      <c r="P38">
        <v>0</v>
      </c>
      <c r="Q38">
        <v>1</v>
      </c>
      <c r="R38">
        <v>1</v>
      </c>
      <c r="S38">
        <v>0</v>
      </c>
      <c r="T38">
        <v>1</v>
      </c>
      <c r="U38">
        <v>1</v>
      </c>
      <c r="V38">
        <v>1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0.75422542448834473</v>
      </c>
      <c r="AE38">
        <v>1.6483084154857709E-2</v>
      </c>
      <c r="AF38">
        <f t="shared" si="0"/>
        <v>2.1854320498463156</v>
      </c>
      <c r="AG38" t="b">
        <f t="shared" si="1"/>
        <v>1</v>
      </c>
    </row>
    <row r="39" spans="1:33" x14ac:dyDescent="0.2">
      <c r="A39" s="4">
        <v>29</v>
      </c>
      <c r="B39">
        <v>1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1</v>
      </c>
      <c r="K39">
        <v>1</v>
      </c>
      <c r="L39">
        <v>1</v>
      </c>
      <c r="M39">
        <v>0</v>
      </c>
      <c r="N39">
        <v>1</v>
      </c>
      <c r="O39">
        <v>1</v>
      </c>
      <c r="P39">
        <v>1</v>
      </c>
      <c r="Q39">
        <v>0</v>
      </c>
      <c r="R39">
        <v>0</v>
      </c>
      <c r="S39">
        <v>1</v>
      </c>
      <c r="T39">
        <v>1</v>
      </c>
      <c r="U39">
        <v>1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0.69907952709136456</v>
      </c>
      <c r="AE39">
        <v>1.0982166216606699E-2</v>
      </c>
      <c r="AF39">
        <f t="shared" si="0"/>
        <v>1.5709466220960309</v>
      </c>
      <c r="AG39" t="b">
        <f t="shared" si="1"/>
        <v>1</v>
      </c>
    </row>
    <row r="40" spans="1:33" x14ac:dyDescent="0.2">
      <c r="A40" s="4">
        <v>30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0</v>
      </c>
      <c r="O40">
        <v>0</v>
      </c>
      <c r="P40">
        <v>0</v>
      </c>
      <c r="Q40">
        <v>1</v>
      </c>
      <c r="R40">
        <v>1</v>
      </c>
      <c r="S40">
        <v>0</v>
      </c>
      <c r="T40">
        <v>1</v>
      </c>
      <c r="U40">
        <v>1</v>
      </c>
      <c r="V40">
        <v>1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0.71728224953341591</v>
      </c>
      <c r="AE40">
        <v>2.6390732279320581E-2</v>
      </c>
      <c r="AF40">
        <f t="shared" si="0"/>
        <v>3.6792674426960175</v>
      </c>
      <c r="AG40" t="b">
        <f t="shared" si="1"/>
        <v>1</v>
      </c>
    </row>
    <row r="41" spans="1:33" x14ac:dyDescent="0.2">
      <c r="A41" s="4" t="s">
        <v>35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0.52827812354037884</v>
      </c>
      <c r="AE41">
        <v>3.3243730956298817E-2</v>
      </c>
      <c r="AF41">
        <f t="shared" si="0"/>
        <v>6.2928464145946865</v>
      </c>
      <c r="AG41" t="b">
        <f t="shared" si="1"/>
        <v>1</v>
      </c>
    </row>
    <row r="42" spans="1:33" x14ac:dyDescent="0.2">
      <c r="A42" s="4" t="s">
        <v>36</v>
      </c>
      <c r="B42">
        <v>1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0.59646928079224626</v>
      </c>
      <c r="AE42">
        <v>5.7226442194387821E-3</v>
      </c>
      <c r="AF42">
        <f t="shared" si="0"/>
        <v>0.95941977294083181</v>
      </c>
      <c r="AG42" t="b">
        <f t="shared" si="1"/>
        <v>1</v>
      </c>
    </row>
    <row r="43" spans="1:33" x14ac:dyDescent="0.2">
      <c r="A43" s="4" t="s">
        <v>37</v>
      </c>
      <c r="B43">
        <v>1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1</v>
      </c>
      <c r="Q43">
        <v>1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0.59592276002590816</v>
      </c>
      <c r="AE43">
        <v>1.4773616102523609E-2</v>
      </c>
      <c r="AF43">
        <f t="shared" si="0"/>
        <v>2.4791159347364609</v>
      </c>
      <c r="AG43" t="b">
        <f t="shared" si="1"/>
        <v>1</v>
      </c>
    </row>
    <row r="44" spans="1:33" x14ac:dyDescent="0.2">
      <c r="A44" s="4" t="s">
        <v>38</v>
      </c>
      <c r="B44">
        <v>1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1</v>
      </c>
      <c r="J44">
        <v>1</v>
      </c>
      <c r="K44">
        <v>1</v>
      </c>
      <c r="L44">
        <v>0</v>
      </c>
      <c r="M44">
        <v>1</v>
      </c>
      <c r="N44">
        <v>0</v>
      </c>
      <c r="O44">
        <v>0</v>
      </c>
      <c r="P44">
        <v>1</v>
      </c>
      <c r="Q44">
        <v>1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0.67468208153569986</v>
      </c>
      <c r="AE44">
        <v>4.8683894411408824E-3</v>
      </c>
      <c r="AF44">
        <f t="shared" si="0"/>
        <v>0.72158273865218669</v>
      </c>
      <c r="AG44" t="b">
        <f t="shared" si="1"/>
        <v>1</v>
      </c>
    </row>
    <row r="45" spans="1:33" x14ac:dyDescent="0.2">
      <c r="A45" s="4" t="s">
        <v>39</v>
      </c>
      <c r="B45">
        <v>1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1</v>
      </c>
      <c r="J45">
        <v>1</v>
      </c>
      <c r="K45">
        <v>1</v>
      </c>
      <c r="L45">
        <v>0</v>
      </c>
      <c r="M45">
        <v>1</v>
      </c>
      <c r="N45">
        <v>1</v>
      </c>
      <c r="O45">
        <v>1</v>
      </c>
      <c r="P45">
        <v>1</v>
      </c>
      <c r="Q45">
        <v>1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0.69869659079569546</v>
      </c>
      <c r="AE45">
        <v>2.527678793962157E-2</v>
      </c>
      <c r="AF45">
        <f t="shared" si="0"/>
        <v>3.617705921655586</v>
      </c>
      <c r="AG45" t="b">
        <f t="shared" si="1"/>
        <v>1</v>
      </c>
    </row>
    <row r="46" spans="1:33" x14ac:dyDescent="0.2">
      <c r="A46" s="4" t="s">
        <v>40</v>
      </c>
      <c r="B46">
        <v>1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0</v>
      </c>
      <c r="S46">
        <v>1</v>
      </c>
      <c r="T46">
        <v>1</v>
      </c>
      <c r="U46">
        <v>1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0.79235793636783725</v>
      </c>
      <c r="AE46">
        <v>8.5253542053357802E-3</v>
      </c>
      <c r="AF46">
        <f t="shared" si="0"/>
        <v>1.0759473482926085</v>
      </c>
      <c r="AG46" t="b">
        <f t="shared" si="1"/>
        <v>1</v>
      </c>
    </row>
    <row r="47" spans="1:33" x14ac:dyDescent="0.2">
      <c r="A47" s="4" t="s">
        <v>41</v>
      </c>
      <c r="B47">
        <v>1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0.81449194271207537</v>
      </c>
      <c r="AE47">
        <v>2.1276416714397391E-2</v>
      </c>
      <c r="AF47">
        <f t="shared" si="0"/>
        <v>2.6122316991315713</v>
      </c>
      <c r="AG47" t="b">
        <f t="shared" si="1"/>
        <v>1</v>
      </c>
    </row>
    <row r="48" spans="1:33" x14ac:dyDescent="0.2">
      <c r="A48" s="4" t="s">
        <v>42</v>
      </c>
      <c r="B48">
        <v>1</v>
      </c>
      <c r="C48">
        <v>0</v>
      </c>
      <c r="D48">
        <v>0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0.9127652958939112</v>
      </c>
      <c r="AE48">
        <v>2.6979392029561521E-2</v>
      </c>
      <c r="AF48">
        <f t="shared" si="0"/>
        <v>2.9557863506564868</v>
      </c>
      <c r="AG48" t="b">
        <f t="shared" si="1"/>
        <v>1</v>
      </c>
    </row>
    <row r="49" spans="1:33" x14ac:dyDescent="0.2">
      <c r="A49" s="4" t="s">
        <v>43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1</v>
      </c>
      <c r="Q49">
        <v>0</v>
      </c>
      <c r="R49">
        <v>1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0.52113947351589796</v>
      </c>
      <c r="AE49">
        <v>4.4276436015314749E-4</v>
      </c>
      <c r="AF49">
        <f t="shared" si="0"/>
        <v>8.4960818102304145E-2</v>
      </c>
      <c r="AG49" t="b">
        <f t="shared" si="1"/>
        <v>1</v>
      </c>
    </row>
    <row r="50" spans="1:33" x14ac:dyDescent="0.2">
      <c r="A50" s="4" t="s">
        <v>44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1</v>
      </c>
      <c r="Q50">
        <v>1</v>
      </c>
      <c r="R50">
        <v>1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0.55643477779731154</v>
      </c>
      <c r="AE50">
        <v>2.217291393649267E-3</v>
      </c>
      <c r="AF50">
        <f t="shared" si="0"/>
        <v>0.3984818135247728</v>
      </c>
      <c r="AG50" t="b">
        <f t="shared" si="1"/>
        <v>1</v>
      </c>
    </row>
    <row r="51" spans="1:33" x14ac:dyDescent="0.2">
      <c r="A51" s="4" t="s">
        <v>45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0</v>
      </c>
      <c r="T51">
        <v>0</v>
      </c>
      <c r="U51">
        <v>0</v>
      </c>
      <c r="V51">
        <v>1</v>
      </c>
      <c r="W51">
        <v>1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0.58615225102100565</v>
      </c>
      <c r="AE51">
        <v>1.30730254302091E-2</v>
      </c>
      <c r="AF51">
        <f t="shared" si="0"/>
        <v>2.2303122452293729</v>
      </c>
      <c r="AG51" t="b">
        <f t="shared" si="1"/>
        <v>1</v>
      </c>
    </row>
    <row r="52" spans="1:33" x14ac:dyDescent="0.2">
      <c r="A52" s="4" t="s">
        <v>46</v>
      </c>
      <c r="B52">
        <v>1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0</v>
      </c>
      <c r="U52">
        <v>0</v>
      </c>
      <c r="V52">
        <v>1</v>
      </c>
      <c r="W52">
        <v>1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0.60121238829209611</v>
      </c>
      <c r="AE52">
        <v>8.2190357377136258E-2</v>
      </c>
      <c r="AF52">
        <f t="shared" si="0"/>
        <v>13.670769095530424</v>
      </c>
      <c r="AG52" t="b">
        <f t="shared" si="1"/>
        <v>1</v>
      </c>
    </row>
    <row r="53" spans="1:33" x14ac:dyDescent="0.2">
      <c r="A53" s="4" t="s">
        <v>47</v>
      </c>
      <c r="B53">
        <v>1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1</v>
      </c>
      <c r="J53">
        <v>1</v>
      </c>
      <c r="K53">
        <v>1</v>
      </c>
      <c r="L53">
        <v>0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0</v>
      </c>
      <c r="U53">
        <v>0</v>
      </c>
      <c r="V53">
        <v>1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0.71578945668340499</v>
      </c>
      <c r="AE53">
        <v>1.6016337537869151E-2</v>
      </c>
      <c r="AF53">
        <f t="shared" si="0"/>
        <v>2.2375766209355059</v>
      </c>
      <c r="AG53" t="b">
        <f t="shared" si="1"/>
        <v>1</v>
      </c>
    </row>
    <row r="54" spans="1:33" x14ac:dyDescent="0.2">
      <c r="A54" s="4" t="s">
        <v>48</v>
      </c>
      <c r="B54">
        <v>1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0.80724315872449848</v>
      </c>
      <c r="AE54">
        <v>2.4615194010673691E-2</v>
      </c>
      <c r="AF54">
        <f t="shared" si="0"/>
        <v>3.0492911267984537</v>
      </c>
      <c r="AG54" t="b">
        <f t="shared" si="1"/>
        <v>1</v>
      </c>
    </row>
    <row r="55" spans="1:33" x14ac:dyDescent="0.2">
      <c r="A55" s="4" t="s">
        <v>49</v>
      </c>
      <c r="B55">
        <v>1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1</v>
      </c>
      <c r="J55">
        <v>1</v>
      </c>
      <c r="K55">
        <v>1</v>
      </c>
      <c r="L55">
        <v>0</v>
      </c>
      <c r="M55">
        <v>1</v>
      </c>
      <c r="N55">
        <v>0</v>
      </c>
      <c r="O55">
        <v>0</v>
      </c>
      <c r="P55">
        <v>1</v>
      </c>
      <c r="Q55">
        <v>1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1</v>
      </c>
      <c r="AA55">
        <v>1</v>
      </c>
      <c r="AB55">
        <v>1</v>
      </c>
      <c r="AC55">
        <v>1</v>
      </c>
      <c r="AD55">
        <v>0.78318014552348014</v>
      </c>
      <c r="AE55">
        <v>1.025669759223596E-2</v>
      </c>
      <c r="AF55">
        <f t="shared" si="0"/>
        <v>1.309621758271253</v>
      </c>
      <c r="AG55" t="b">
        <f t="shared" si="1"/>
        <v>1</v>
      </c>
    </row>
    <row r="56" spans="1:33" x14ac:dyDescent="0.2">
      <c r="A56" s="4" t="s">
        <v>50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0</v>
      </c>
      <c r="T56">
        <v>0</v>
      </c>
      <c r="U56">
        <v>0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0.65773305768043011</v>
      </c>
      <c r="AE56">
        <v>5.0689870632973427E-3</v>
      </c>
      <c r="AF56">
        <f t="shared" si="0"/>
        <v>0.77067542890024376</v>
      </c>
      <c r="AG56" t="b">
        <f t="shared" si="1"/>
        <v>1</v>
      </c>
    </row>
    <row r="57" spans="1:33" x14ac:dyDescent="0.2">
      <c r="A57" s="4" t="s">
        <v>51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1</v>
      </c>
      <c r="AA57">
        <v>1</v>
      </c>
      <c r="AB57">
        <v>1</v>
      </c>
      <c r="AC57">
        <v>1</v>
      </c>
      <c r="AD57">
        <v>0.68204956172893105</v>
      </c>
      <c r="AE57">
        <v>7.9816260917613055E-2</v>
      </c>
      <c r="AF57">
        <f t="shared" si="0"/>
        <v>11.702413636229952</v>
      </c>
      <c r="AG57" t="b">
        <f t="shared" si="1"/>
        <v>1</v>
      </c>
    </row>
    <row r="58" spans="1:33" x14ac:dyDescent="0.2">
      <c r="A58" s="4" t="s">
        <v>52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1</v>
      </c>
      <c r="Q58">
        <v>0</v>
      </c>
      <c r="R58">
        <v>1</v>
      </c>
      <c r="S58">
        <v>0</v>
      </c>
      <c r="T58">
        <v>0</v>
      </c>
      <c r="U58">
        <v>0</v>
      </c>
      <c r="V58">
        <v>1</v>
      </c>
      <c r="W58">
        <v>1</v>
      </c>
      <c r="X58">
        <v>0</v>
      </c>
      <c r="Y58">
        <v>1</v>
      </c>
      <c r="Z58">
        <v>1</v>
      </c>
      <c r="AA58">
        <v>1</v>
      </c>
      <c r="AB58">
        <v>1</v>
      </c>
      <c r="AC58">
        <v>1</v>
      </c>
      <c r="AD58">
        <v>0.54152652413788871</v>
      </c>
      <c r="AE58">
        <v>1.0012592683189109E-3</v>
      </c>
      <c r="AF58">
        <f t="shared" si="0"/>
        <v>0.18489570199962369</v>
      </c>
      <c r="AG58" t="b">
        <f t="shared" si="1"/>
        <v>1</v>
      </c>
    </row>
    <row r="59" spans="1:33" x14ac:dyDescent="0.2">
      <c r="A59" s="4" t="s">
        <v>53</v>
      </c>
      <c r="B59">
        <v>1</v>
      </c>
      <c r="C59">
        <v>0</v>
      </c>
      <c r="D59">
        <v>0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0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0</v>
      </c>
      <c r="U59">
        <v>0</v>
      </c>
      <c r="V59">
        <v>1</v>
      </c>
      <c r="W59">
        <v>1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0.73787608397164428</v>
      </c>
      <c r="AE59">
        <v>5.5996708174201491E-3</v>
      </c>
      <c r="AF59">
        <f t="shared" si="0"/>
        <v>0.75889040708295108</v>
      </c>
      <c r="AG59" t="b">
        <f t="shared" si="1"/>
        <v>1</v>
      </c>
    </row>
    <row r="60" spans="1:33" x14ac:dyDescent="0.2">
      <c r="A60" s="4" t="s">
        <v>54</v>
      </c>
      <c r="B60">
        <v>1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1</v>
      </c>
      <c r="J60">
        <v>0</v>
      </c>
      <c r="K60">
        <v>0</v>
      </c>
      <c r="L60">
        <v>1</v>
      </c>
      <c r="M60">
        <v>0</v>
      </c>
      <c r="N60">
        <v>1</v>
      </c>
      <c r="O60">
        <v>1</v>
      </c>
      <c r="P60">
        <v>0</v>
      </c>
      <c r="Q60">
        <v>1</v>
      </c>
      <c r="R60">
        <v>0</v>
      </c>
      <c r="S60">
        <v>1</v>
      </c>
      <c r="T60">
        <v>1</v>
      </c>
      <c r="U60">
        <v>1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0.69444711374250845</v>
      </c>
      <c r="AE60">
        <v>2.7564668502500549E-2</v>
      </c>
      <c r="AF60">
        <f t="shared" si="0"/>
        <v>3.9692970072190628</v>
      </c>
      <c r="AG60" t="b">
        <f t="shared" si="1"/>
        <v>1</v>
      </c>
    </row>
    <row r="61" spans="1:33" x14ac:dyDescent="0.2">
      <c r="A61" s="4" t="s">
        <v>55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0</v>
      </c>
      <c r="O61">
        <v>0</v>
      </c>
      <c r="P61">
        <v>1</v>
      </c>
      <c r="Q61">
        <v>1</v>
      </c>
      <c r="R61">
        <v>1</v>
      </c>
      <c r="S61">
        <v>0</v>
      </c>
      <c r="T61">
        <v>1</v>
      </c>
      <c r="U61">
        <v>1</v>
      </c>
      <c r="V61">
        <v>1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0.60710787104284336</v>
      </c>
      <c r="AE61">
        <v>3.5037783085195069E-2</v>
      </c>
      <c r="AF61">
        <f t="shared" si="0"/>
        <v>5.771261542863849</v>
      </c>
      <c r="AG61" t="b">
        <f t="shared" si="1"/>
        <v>1</v>
      </c>
    </row>
    <row r="62" spans="1:33" x14ac:dyDescent="0.2">
      <c r="A62" s="4" t="s">
        <v>56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0</v>
      </c>
      <c r="T62">
        <v>1</v>
      </c>
      <c r="U62">
        <v>1</v>
      </c>
      <c r="V62">
        <v>1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0.66700465336745207</v>
      </c>
      <c r="AE62">
        <v>1.3959576260723741E-2</v>
      </c>
      <c r="AF62">
        <f t="shared" si="0"/>
        <v>2.0928753930346908</v>
      </c>
      <c r="AG62" t="b">
        <f t="shared" si="1"/>
        <v>1</v>
      </c>
    </row>
    <row r="63" spans="1:33" x14ac:dyDescent="0.2">
      <c r="A63" s="4" t="s">
        <v>57</v>
      </c>
      <c r="B63">
        <v>1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0.80486167814279197</v>
      </c>
      <c r="AE63">
        <v>9.3210027283489785E-3</v>
      </c>
      <c r="AF63">
        <f t="shared" si="0"/>
        <v>1.1580875300035496</v>
      </c>
      <c r="AG63" t="b">
        <f t="shared" si="1"/>
        <v>1</v>
      </c>
    </row>
    <row r="64" spans="1:33" x14ac:dyDescent="0.2">
      <c r="A64" s="4" t="s">
        <v>58</v>
      </c>
      <c r="B64">
        <v>1</v>
      </c>
      <c r="C64">
        <v>0</v>
      </c>
      <c r="D64">
        <v>0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0.88513669490181401</v>
      </c>
      <c r="AE64">
        <v>1.443624610309361E-2</v>
      </c>
      <c r="AF64">
        <f t="shared" si="0"/>
        <v>1.6309623345459638</v>
      </c>
      <c r="AG64" t="b">
        <f t="shared" si="1"/>
        <v>1</v>
      </c>
    </row>
    <row r="65" spans="1:33" x14ac:dyDescent="0.2">
      <c r="A65" s="4" t="s">
        <v>59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1</v>
      </c>
      <c r="K65">
        <v>1</v>
      </c>
      <c r="L65">
        <v>1</v>
      </c>
      <c r="M65">
        <v>1</v>
      </c>
      <c r="N65">
        <v>0</v>
      </c>
      <c r="O65">
        <v>0</v>
      </c>
      <c r="P65">
        <v>1</v>
      </c>
      <c r="Q65">
        <v>1</v>
      </c>
      <c r="R65">
        <v>1</v>
      </c>
      <c r="S65">
        <v>0</v>
      </c>
      <c r="T65">
        <v>1</v>
      </c>
      <c r="U65">
        <v>1</v>
      </c>
      <c r="V65">
        <v>1</v>
      </c>
      <c r="W65">
        <v>1</v>
      </c>
      <c r="X65">
        <v>0</v>
      </c>
      <c r="Y65">
        <v>1</v>
      </c>
      <c r="Z65">
        <v>1</v>
      </c>
      <c r="AA65">
        <v>1</v>
      </c>
      <c r="AB65">
        <v>1</v>
      </c>
      <c r="AC65">
        <v>1</v>
      </c>
      <c r="AD65">
        <v>0.8006123698830433</v>
      </c>
      <c r="AE65">
        <v>2.1071891910074959E-2</v>
      </c>
      <c r="AF65">
        <f t="shared" si="0"/>
        <v>2.6319718134199235</v>
      </c>
      <c r="AG65" t="b">
        <f t="shared" si="1"/>
        <v>1</v>
      </c>
    </row>
    <row r="66" spans="1:33" x14ac:dyDescent="0.2">
      <c r="A66" s="4" t="s">
        <v>60</v>
      </c>
      <c r="B66">
        <v>1</v>
      </c>
      <c r="C66">
        <v>0</v>
      </c>
      <c r="D66">
        <v>0</v>
      </c>
      <c r="E66">
        <v>1</v>
      </c>
      <c r="F66">
        <v>0</v>
      </c>
      <c r="G66">
        <v>1</v>
      </c>
      <c r="H66">
        <v>1</v>
      </c>
      <c r="I66">
        <v>0</v>
      </c>
      <c r="J66">
        <v>1</v>
      </c>
      <c r="K66">
        <v>1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0.58579868121607492</v>
      </c>
      <c r="AE66">
        <v>7.5430910637685391E-3</v>
      </c>
      <c r="AF66">
        <f t="shared" ref="AF66:AF129" si="2">100*AE66/AD66</f>
        <v>1.287659277093222</v>
      </c>
      <c r="AG66" t="b">
        <f t="shared" ref="AG66:AG129" si="3">(AF66&lt;15)</f>
        <v>1</v>
      </c>
    </row>
    <row r="67" spans="1:33" x14ac:dyDescent="0.2">
      <c r="A67" s="4" t="s">
        <v>61</v>
      </c>
      <c r="B67">
        <v>1</v>
      </c>
      <c r="C67">
        <v>0</v>
      </c>
      <c r="D67">
        <v>0</v>
      </c>
      <c r="E67">
        <v>1</v>
      </c>
      <c r="F67">
        <v>0</v>
      </c>
      <c r="G67">
        <v>1</v>
      </c>
      <c r="H67">
        <v>1</v>
      </c>
      <c r="I67">
        <v>0</v>
      </c>
      <c r="J67">
        <v>1</v>
      </c>
      <c r="K67">
        <v>1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1</v>
      </c>
      <c r="U67">
        <v>1</v>
      </c>
      <c r="V67">
        <v>1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0.60893044652887773</v>
      </c>
      <c r="AE67">
        <v>7.200705410837587E-3</v>
      </c>
      <c r="AF67">
        <f t="shared" si="2"/>
        <v>1.1825168953012932</v>
      </c>
      <c r="AG67" t="b">
        <f t="shared" si="3"/>
        <v>1</v>
      </c>
    </row>
    <row r="68" spans="1:33" x14ac:dyDescent="0.2">
      <c r="A68" s="4" t="s">
        <v>62</v>
      </c>
      <c r="B68">
        <v>1</v>
      </c>
      <c r="C68">
        <v>0</v>
      </c>
      <c r="D68">
        <v>0</v>
      </c>
      <c r="E68">
        <v>1</v>
      </c>
      <c r="F68">
        <v>0</v>
      </c>
      <c r="G68">
        <v>1</v>
      </c>
      <c r="H68">
        <v>1</v>
      </c>
      <c r="I68">
        <v>0</v>
      </c>
      <c r="J68">
        <v>1</v>
      </c>
      <c r="K68">
        <v>1</v>
      </c>
      <c r="L68">
        <v>1</v>
      </c>
      <c r="M68">
        <v>1</v>
      </c>
      <c r="N68">
        <v>0</v>
      </c>
      <c r="O68">
        <v>0</v>
      </c>
      <c r="P68">
        <v>1</v>
      </c>
      <c r="Q68">
        <v>0</v>
      </c>
      <c r="R68">
        <v>1</v>
      </c>
      <c r="S68">
        <v>0</v>
      </c>
      <c r="T68">
        <v>1</v>
      </c>
      <c r="U68">
        <v>1</v>
      </c>
      <c r="V68">
        <v>1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0.56876603187932173</v>
      </c>
      <c r="AE68">
        <v>3.675476643343879E-3</v>
      </c>
      <c r="AF68">
        <f t="shared" si="2"/>
        <v>0.64621943599538401</v>
      </c>
      <c r="AG68" t="b">
        <f t="shared" si="3"/>
        <v>1</v>
      </c>
    </row>
    <row r="69" spans="1:33" x14ac:dyDescent="0.2">
      <c r="A69" s="4" t="s">
        <v>63</v>
      </c>
      <c r="B69">
        <v>1</v>
      </c>
      <c r="C69">
        <v>0</v>
      </c>
      <c r="D69">
        <v>0</v>
      </c>
      <c r="E69">
        <v>1</v>
      </c>
      <c r="F69">
        <v>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0</v>
      </c>
      <c r="O69">
        <v>0</v>
      </c>
      <c r="P69">
        <v>1</v>
      </c>
      <c r="Q69">
        <v>1</v>
      </c>
      <c r="R69">
        <v>1</v>
      </c>
      <c r="S69">
        <v>0</v>
      </c>
      <c r="T69">
        <v>1</v>
      </c>
      <c r="U69">
        <v>1</v>
      </c>
      <c r="V69">
        <v>1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0.6492149582239517</v>
      </c>
      <c r="AE69">
        <v>2.4140816560313309E-2</v>
      </c>
      <c r="AF69">
        <f t="shared" si="2"/>
        <v>3.7184627763899658</v>
      </c>
      <c r="AG69" t="b">
        <f t="shared" si="3"/>
        <v>1</v>
      </c>
    </row>
    <row r="70" spans="1:33" x14ac:dyDescent="0.2">
      <c r="A70" s="4" t="s">
        <v>64</v>
      </c>
      <c r="B70">
        <v>1</v>
      </c>
      <c r="C70">
        <v>0</v>
      </c>
      <c r="D70">
        <v>0</v>
      </c>
      <c r="E70">
        <v>1</v>
      </c>
      <c r="F70">
        <v>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0</v>
      </c>
      <c r="T70">
        <v>1</v>
      </c>
      <c r="U70">
        <v>1</v>
      </c>
      <c r="V70">
        <v>1</v>
      </c>
      <c r="W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0.82241875028571443</v>
      </c>
      <c r="AE70">
        <v>1.239287752952432E-2</v>
      </c>
      <c r="AF70">
        <f t="shared" si="2"/>
        <v>1.5068816859074456</v>
      </c>
      <c r="AG70" t="b">
        <f t="shared" si="3"/>
        <v>1</v>
      </c>
    </row>
    <row r="71" spans="1:33" x14ac:dyDescent="0.2">
      <c r="A71" s="4" t="s">
        <v>65</v>
      </c>
      <c r="B71">
        <v>1</v>
      </c>
      <c r="C71">
        <v>0</v>
      </c>
      <c r="D71">
        <v>0</v>
      </c>
      <c r="E71">
        <v>1</v>
      </c>
      <c r="F71">
        <v>0</v>
      </c>
      <c r="G71">
        <v>1</v>
      </c>
      <c r="H71">
        <v>1</v>
      </c>
      <c r="I71">
        <v>0</v>
      </c>
      <c r="J71">
        <v>1</v>
      </c>
      <c r="K71">
        <v>1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1</v>
      </c>
      <c r="U71">
        <v>1</v>
      </c>
      <c r="V71">
        <v>1</v>
      </c>
      <c r="W71">
        <v>1</v>
      </c>
      <c r="X71">
        <v>0</v>
      </c>
      <c r="Y71">
        <v>1</v>
      </c>
      <c r="Z71">
        <v>1</v>
      </c>
      <c r="AA71">
        <v>1</v>
      </c>
      <c r="AB71">
        <v>1</v>
      </c>
      <c r="AC71">
        <v>1</v>
      </c>
      <c r="AD71">
        <v>0.5481416129690232</v>
      </c>
      <c r="AE71">
        <v>1.1854860012369619E-2</v>
      </c>
      <c r="AF71">
        <f t="shared" si="2"/>
        <v>2.1627367329689609</v>
      </c>
      <c r="AG71" t="b">
        <f t="shared" si="3"/>
        <v>1</v>
      </c>
    </row>
    <row r="72" spans="1:33" x14ac:dyDescent="0.2">
      <c r="A72" s="4" t="s">
        <v>66</v>
      </c>
      <c r="B72">
        <v>1</v>
      </c>
      <c r="C72">
        <v>0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1</v>
      </c>
      <c r="K72">
        <v>1</v>
      </c>
      <c r="L72">
        <v>1</v>
      </c>
      <c r="M72">
        <v>0</v>
      </c>
      <c r="N72">
        <v>1</v>
      </c>
      <c r="O72">
        <v>1</v>
      </c>
      <c r="P72">
        <v>0</v>
      </c>
      <c r="Q72">
        <v>0</v>
      </c>
      <c r="R72">
        <v>0</v>
      </c>
      <c r="S72">
        <v>1</v>
      </c>
      <c r="T72">
        <v>1</v>
      </c>
      <c r="U72">
        <v>1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0.70517928972271748</v>
      </c>
      <c r="AE72">
        <v>1.6749806865949901E-2</v>
      </c>
      <c r="AF72">
        <f t="shared" si="2"/>
        <v>2.3752550748528178</v>
      </c>
      <c r="AG72" t="b">
        <f t="shared" si="3"/>
        <v>1</v>
      </c>
    </row>
    <row r="73" spans="1:33" x14ac:dyDescent="0.2">
      <c r="A73" s="4" t="s">
        <v>67</v>
      </c>
      <c r="B73">
        <v>1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1</v>
      </c>
      <c r="K73">
        <v>1</v>
      </c>
      <c r="L73">
        <v>1</v>
      </c>
      <c r="M73">
        <v>0</v>
      </c>
      <c r="N73">
        <v>1</v>
      </c>
      <c r="O73">
        <v>1</v>
      </c>
      <c r="P73">
        <v>0</v>
      </c>
      <c r="Q73">
        <v>0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0.67634146914821469</v>
      </c>
      <c r="AE73">
        <v>7.4351753328947808E-3</v>
      </c>
      <c r="AF73">
        <f t="shared" si="2"/>
        <v>1.0993227048843612</v>
      </c>
      <c r="AG73" t="b">
        <f t="shared" si="3"/>
        <v>1</v>
      </c>
    </row>
    <row r="74" spans="1:33" x14ac:dyDescent="0.2">
      <c r="A74" s="4" t="s">
        <v>68</v>
      </c>
      <c r="B74">
        <v>1</v>
      </c>
      <c r="C74">
        <v>0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0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0.67033160280138182</v>
      </c>
      <c r="AE74">
        <v>5.6348969423995711E-3</v>
      </c>
      <c r="AF74">
        <f t="shared" si="2"/>
        <v>0.84061334999734183</v>
      </c>
      <c r="AG74" t="b">
        <f t="shared" si="3"/>
        <v>1</v>
      </c>
    </row>
    <row r="75" spans="1:33" x14ac:dyDescent="0.2">
      <c r="A75" s="4" t="s">
        <v>69</v>
      </c>
      <c r="B75">
        <v>1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1</v>
      </c>
      <c r="K75">
        <v>1</v>
      </c>
      <c r="L75">
        <v>1</v>
      </c>
      <c r="M75">
        <v>0</v>
      </c>
      <c r="N75">
        <v>1</v>
      </c>
      <c r="O75">
        <v>1</v>
      </c>
      <c r="P75">
        <v>0</v>
      </c>
      <c r="Q75">
        <v>0</v>
      </c>
      <c r="R75">
        <v>0</v>
      </c>
      <c r="S75">
        <v>1</v>
      </c>
      <c r="T75">
        <v>1</v>
      </c>
      <c r="U75">
        <v>1</v>
      </c>
      <c r="V75">
        <v>0</v>
      </c>
      <c r="W75">
        <v>0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0.67856991381526321</v>
      </c>
      <c r="AE75">
        <v>1.7024806801462612E-2</v>
      </c>
      <c r="AF75">
        <f t="shared" si="2"/>
        <v>2.5089244976601655</v>
      </c>
      <c r="AG75" t="b">
        <f t="shared" si="3"/>
        <v>1</v>
      </c>
    </row>
    <row r="76" spans="1:33" x14ac:dyDescent="0.2">
      <c r="A76" s="4" t="s">
        <v>70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1</v>
      </c>
      <c r="K76">
        <v>1</v>
      </c>
      <c r="L76">
        <v>1</v>
      </c>
      <c r="M76">
        <v>1</v>
      </c>
      <c r="N76">
        <v>0</v>
      </c>
      <c r="O76">
        <v>0</v>
      </c>
      <c r="P76">
        <v>1</v>
      </c>
      <c r="Q76">
        <v>1</v>
      </c>
      <c r="R76">
        <v>0</v>
      </c>
      <c r="S76">
        <v>0</v>
      </c>
      <c r="T76">
        <v>1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0.55019158348179265</v>
      </c>
      <c r="AE76">
        <v>1.4426317800383099E-2</v>
      </c>
      <c r="AF76">
        <f t="shared" si="2"/>
        <v>2.6220535234451665</v>
      </c>
      <c r="AG76" t="b">
        <f t="shared" si="3"/>
        <v>1</v>
      </c>
    </row>
    <row r="77" spans="1:33" x14ac:dyDescent="0.2">
      <c r="A77" s="4" t="s">
        <v>71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1</v>
      </c>
      <c r="K77">
        <v>1</v>
      </c>
      <c r="L77">
        <v>1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1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0.61675277301718301</v>
      </c>
      <c r="AE77">
        <v>7.9230982780971338E-3</v>
      </c>
      <c r="AF77">
        <f t="shared" si="2"/>
        <v>1.2846473700210495</v>
      </c>
      <c r="AG77" t="b">
        <f t="shared" si="3"/>
        <v>1</v>
      </c>
    </row>
    <row r="78" spans="1:33" x14ac:dyDescent="0.2">
      <c r="A78" s="4" t="s">
        <v>72</v>
      </c>
      <c r="B78">
        <v>1</v>
      </c>
      <c r="C78">
        <v>0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1</v>
      </c>
      <c r="K78">
        <v>1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1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0.6026146588475112</v>
      </c>
      <c r="AE78">
        <v>4.8842084080157992E-3</v>
      </c>
      <c r="AF78">
        <f t="shared" si="2"/>
        <v>0.81050275434002106</v>
      </c>
      <c r="AG78" t="b">
        <f t="shared" si="3"/>
        <v>1</v>
      </c>
    </row>
    <row r="79" spans="1:33" x14ac:dyDescent="0.2">
      <c r="A79" s="4" t="s">
        <v>73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1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0.55740778332360708</v>
      </c>
      <c r="AE79">
        <v>4.5110369876273987E-3</v>
      </c>
      <c r="AF79">
        <f t="shared" si="2"/>
        <v>0.80928848189557556</v>
      </c>
      <c r="AG79" t="b">
        <f t="shared" si="3"/>
        <v>1</v>
      </c>
    </row>
    <row r="80" spans="1:33" x14ac:dyDescent="0.2">
      <c r="A80" s="4" t="s">
        <v>74</v>
      </c>
      <c r="B80">
        <v>1</v>
      </c>
      <c r="C80">
        <v>0</v>
      </c>
      <c r="D80">
        <v>0</v>
      </c>
      <c r="E80">
        <v>1</v>
      </c>
      <c r="F80">
        <v>0</v>
      </c>
      <c r="G80">
        <v>1</v>
      </c>
      <c r="H80">
        <v>1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0.51851755897715401</v>
      </c>
      <c r="AE80">
        <v>4.6622578129600313E-3</v>
      </c>
      <c r="AF80">
        <f t="shared" si="2"/>
        <v>0.89915138499011782</v>
      </c>
      <c r="AG80" t="b">
        <f t="shared" si="3"/>
        <v>1</v>
      </c>
    </row>
    <row r="81" spans="1:33" x14ac:dyDescent="0.2">
      <c r="A81" s="4" t="s">
        <v>75</v>
      </c>
      <c r="B81">
        <v>1</v>
      </c>
      <c r="C81">
        <v>0</v>
      </c>
      <c r="D81">
        <v>0</v>
      </c>
      <c r="E81">
        <v>1</v>
      </c>
      <c r="F81">
        <v>0</v>
      </c>
      <c r="G81">
        <v>1</v>
      </c>
      <c r="H81">
        <v>1</v>
      </c>
      <c r="I81">
        <v>0</v>
      </c>
      <c r="J81">
        <v>1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0.47803306489143249</v>
      </c>
      <c r="AE81">
        <v>5.7174241468143519E-3</v>
      </c>
      <c r="AF81">
        <f t="shared" si="2"/>
        <v>1.1960311046920682</v>
      </c>
      <c r="AG81" t="b">
        <f t="shared" si="3"/>
        <v>1</v>
      </c>
    </row>
    <row r="82" spans="1:33" x14ac:dyDescent="0.2">
      <c r="A82" s="4" t="s">
        <v>76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>
        <v>1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1</v>
      </c>
      <c r="V82">
        <v>0</v>
      </c>
      <c r="W82">
        <v>0</v>
      </c>
      <c r="X82">
        <v>0</v>
      </c>
      <c r="Y82">
        <v>1</v>
      </c>
      <c r="Z82">
        <v>1</v>
      </c>
      <c r="AA82">
        <v>1</v>
      </c>
      <c r="AB82">
        <v>1</v>
      </c>
      <c r="AC82">
        <v>1</v>
      </c>
      <c r="AD82">
        <v>0.51120440056753791</v>
      </c>
      <c r="AE82">
        <v>1.268026751280985E-2</v>
      </c>
      <c r="AF82">
        <f t="shared" si="2"/>
        <v>2.4804691623804973</v>
      </c>
      <c r="AG82" t="b">
        <f t="shared" si="3"/>
        <v>1</v>
      </c>
    </row>
    <row r="83" spans="1:33" x14ac:dyDescent="0.2">
      <c r="A83" s="4" t="s">
        <v>77</v>
      </c>
      <c r="B83">
        <v>1</v>
      </c>
      <c r="C83">
        <v>0</v>
      </c>
      <c r="D83">
        <v>0</v>
      </c>
      <c r="E83">
        <v>1</v>
      </c>
      <c r="F83">
        <v>0</v>
      </c>
      <c r="G83">
        <v>1</v>
      </c>
      <c r="H83">
        <v>1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1</v>
      </c>
      <c r="V83">
        <v>0</v>
      </c>
      <c r="W83">
        <v>0</v>
      </c>
      <c r="X83">
        <v>0</v>
      </c>
      <c r="Y83">
        <v>1</v>
      </c>
      <c r="Z83">
        <v>1</v>
      </c>
      <c r="AA83">
        <v>1</v>
      </c>
      <c r="AB83">
        <v>1</v>
      </c>
      <c r="AC83">
        <v>1</v>
      </c>
      <c r="AD83">
        <v>0.60589474464084003</v>
      </c>
      <c r="AE83">
        <v>2.2807897106579222E-2</v>
      </c>
      <c r="AF83">
        <f t="shared" si="2"/>
        <v>3.7643332127099405</v>
      </c>
      <c r="AG83" t="b">
        <f t="shared" si="3"/>
        <v>1</v>
      </c>
    </row>
    <row r="84" spans="1:33" x14ac:dyDescent="0.2">
      <c r="A84" s="4" t="s">
        <v>78</v>
      </c>
      <c r="B84">
        <v>1</v>
      </c>
      <c r="C84">
        <v>0</v>
      </c>
      <c r="D84">
        <v>0</v>
      </c>
      <c r="E84">
        <v>1</v>
      </c>
      <c r="F84">
        <v>0</v>
      </c>
      <c r="G84">
        <v>1</v>
      </c>
      <c r="H84">
        <v>1</v>
      </c>
      <c r="I84">
        <v>0</v>
      </c>
      <c r="J84">
        <v>1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1</v>
      </c>
      <c r="AA84">
        <v>1</v>
      </c>
      <c r="AB84">
        <v>1</v>
      </c>
      <c r="AC84">
        <v>1</v>
      </c>
      <c r="AD84">
        <v>0.5069275588793426</v>
      </c>
      <c r="AE84">
        <v>6.6612852950861407E-3</v>
      </c>
      <c r="AF84">
        <f t="shared" si="2"/>
        <v>1.3140507313928933</v>
      </c>
      <c r="AG84" t="b">
        <f t="shared" si="3"/>
        <v>1</v>
      </c>
    </row>
    <row r="85" spans="1:33" x14ac:dyDescent="0.2">
      <c r="A85" s="4" t="s">
        <v>79</v>
      </c>
      <c r="B85">
        <v>1</v>
      </c>
      <c r="C85">
        <v>0</v>
      </c>
      <c r="D85">
        <v>0</v>
      </c>
      <c r="E85">
        <v>1</v>
      </c>
      <c r="F85">
        <v>0</v>
      </c>
      <c r="G85">
        <v>1</v>
      </c>
      <c r="H85">
        <v>1</v>
      </c>
      <c r="I85">
        <v>0</v>
      </c>
      <c r="J85">
        <v>0</v>
      </c>
      <c r="K85">
        <v>0</v>
      </c>
      <c r="L85">
        <v>1</v>
      </c>
      <c r="M85">
        <v>1</v>
      </c>
      <c r="N85">
        <v>0</v>
      </c>
      <c r="O85">
        <v>0</v>
      </c>
      <c r="P85">
        <v>1</v>
      </c>
      <c r="Q85">
        <v>0</v>
      </c>
      <c r="R85">
        <v>1</v>
      </c>
      <c r="S85">
        <v>0</v>
      </c>
      <c r="T85">
        <v>1</v>
      </c>
      <c r="U85">
        <v>1</v>
      </c>
      <c r="V85">
        <v>1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0.51752629030030484</v>
      </c>
      <c r="AE85">
        <v>4.6090906849450084E-3</v>
      </c>
      <c r="AF85">
        <f t="shared" si="2"/>
        <v>0.89060029825161013</v>
      </c>
      <c r="AG85" t="b">
        <f t="shared" si="3"/>
        <v>1</v>
      </c>
    </row>
    <row r="86" spans="1:33" x14ac:dyDescent="0.2">
      <c r="A86" s="4" t="s">
        <v>80</v>
      </c>
      <c r="B86">
        <v>1</v>
      </c>
      <c r="C86">
        <v>0</v>
      </c>
      <c r="D86">
        <v>0</v>
      </c>
      <c r="E86">
        <v>1</v>
      </c>
      <c r="F86">
        <v>0</v>
      </c>
      <c r="G86">
        <v>1</v>
      </c>
      <c r="H86">
        <v>1</v>
      </c>
      <c r="I86">
        <v>1</v>
      </c>
      <c r="J86">
        <v>0</v>
      </c>
      <c r="K86">
        <v>0</v>
      </c>
      <c r="L86">
        <v>1</v>
      </c>
      <c r="M86">
        <v>1</v>
      </c>
      <c r="N86">
        <v>0</v>
      </c>
      <c r="O86">
        <v>0</v>
      </c>
      <c r="P86">
        <v>1</v>
      </c>
      <c r="Q86">
        <v>1</v>
      </c>
      <c r="R86">
        <v>1</v>
      </c>
      <c r="S86">
        <v>0</v>
      </c>
      <c r="T86">
        <v>1</v>
      </c>
      <c r="U86">
        <v>1</v>
      </c>
      <c r="V86">
        <v>1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0.99335714738065184</v>
      </c>
      <c r="AE86">
        <v>0.13465811620461449</v>
      </c>
      <c r="AF86">
        <f t="shared" si="2"/>
        <v>13.555861208598508</v>
      </c>
      <c r="AG86" t="b">
        <f t="shared" si="3"/>
        <v>1</v>
      </c>
    </row>
    <row r="87" spans="1:33" x14ac:dyDescent="0.2">
      <c r="A87" s="4" t="s">
        <v>81</v>
      </c>
      <c r="B87">
        <v>1</v>
      </c>
      <c r="C87">
        <v>0</v>
      </c>
      <c r="D87">
        <v>0</v>
      </c>
      <c r="E87">
        <v>1</v>
      </c>
      <c r="F87">
        <v>1</v>
      </c>
      <c r="G87">
        <v>1</v>
      </c>
      <c r="H87">
        <v>1</v>
      </c>
      <c r="I87">
        <v>0</v>
      </c>
      <c r="J87">
        <v>0</v>
      </c>
      <c r="K87">
        <v>0</v>
      </c>
      <c r="L87">
        <v>1</v>
      </c>
      <c r="M87">
        <v>0</v>
      </c>
      <c r="N87">
        <v>1</v>
      </c>
      <c r="O87">
        <v>1</v>
      </c>
      <c r="P87">
        <v>0</v>
      </c>
      <c r="Q87">
        <v>0</v>
      </c>
      <c r="R87">
        <v>0</v>
      </c>
      <c r="S87">
        <v>1</v>
      </c>
      <c r="T87">
        <v>1</v>
      </c>
      <c r="U87">
        <v>1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0.62170323192955712</v>
      </c>
      <c r="AE87">
        <v>3.428724596226021E-2</v>
      </c>
      <c r="AF87">
        <f t="shared" si="2"/>
        <v>5.5150503007430354</v>
      </c>
      <c r="AG87" t="b">
        <f t="shared" si="3"/>
        <v>1</v>
      </c>
    </row>
    <row r="88" spans="1:33" x14ac:dyDescent="0.2">
      <c r="A88" s="4" t="s">
        <v>82</v>
      </c>
      <c r="B88">
        <v>1</v>
      </c>
      <c r="C88">
        <v>0</v>
      </c>
      <c r="D88">
        <v>0</v>
      </c>
      <c r="E88">
        <v>1</v>
      </c>
      <c r="F88">
        <v>0</v>
      </c>
      <c r="G88">
        <v>1</v>
      </c>
      <c r="H88">
        <v>1</v>
      </c>
      <c r="I88">
        <v>0</v>
      </c>
      <c r="J88">
        <v>1</v>
      </c>
      <c r="K88">
        <v>1</v>
      </c>
      <c r="L88">
        <v>0</v>
      </c>
      <c r="M88">
        <v>1</v>
      </c>
      <c r="N88">
        <v>0</v>
      </c>
      <c r="O88">
        <v>0</v>
      </c>
      <c r="P88">
        <v>1</v>
      </c>
      <c r="Q88">
        <v>0</v>
      </c>
      <c r="R88">
        <v>1</v>
      </c>
      <c r="S88">
        <v>0</v>
      </c>
      <c r="T88">
        <v>0</v>
      </c>
      <c r="U88">
        <v>0</v>
      </c>
      <c r="V88">
        <v>1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0.53130280669175689</v>
      </c>
      <c r="AE88">
        <v>1.082459485920721E-2</v>
      </c>
      <c r="AF88">
        <f t="shared" si="2"/>
        <v>2.0373682809259575</v>
      </c>
      <c r="AG88" t="b">
        <f t="shared" si="3"/>
        <v>1</v>
      </c>
    </row>
    <row r="89" spans="1:33" x14ac:dyDescent="0.2">
      <c r="A89" s="4" t="s">
        <v>83</v>
      </c>
      <c r="B89">
        <v>1</v>
      </c>
      <c r="C89">
        <v>0</v>
      </c>
      <c r="D89">
        <v>0</v>
      </c>
      <c r="E89">
        <v>1</v>
      </c>
      <c r="F89">
        <v>0</v>
      </c>
      <c r="G89">
        <v>1</v>
      </c>
      <c r="H89">
        <v>1</v>
      </c>
      <c r="I89">
        <v>1</v>
      </c>
      <c r="J89">
        <v>1</v>
      </c>
      <c r="K89">
        <v>1</v>
      </c>
      <c r="L89">
        <v>0</v>
      </c>
      <c r="M89">
        <v>1</v>
      </c>
      <c r="N89">
        <v>0</v>
      </c>
      <c r="O89">
        <v>0</v>
      </c>
      <c r="P89">
        <v>1</v>
      </c>
      <c r="Q89">
        <v>1</v>
      </c>
      <c r="R89">
        <v>1</v>
      </c>
      <c r="S89">
        <v>0</v>
      </c>
      <c r="T89">
        <v>0</v>
      </c>
      <c r="U89">
        <v>0</v>
      </c>
      <c r="V89">
        <v>1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0.66887750517098477</v>
      </c>
      <c r="AE89">
        <v>1.0309744026150799E-2</v>
      </c>
      <c r="AF89">
        <f t="shared" si="2"/>
        <v>1.5413500897320991</v>
      </c>
      <c r="AG89" t="b">
        <f t="shared" si="3"/>
        <v>1</v>
      </c>
    </row>
    <row r="90" spans="1:33" x14ac:dyDescent="0.2">
      <c r="A90" s="4" t="s">
        <v>84</v>
      </c>
      <c r="B90">
        <v>1</v>
      </c>
      <c r="C90">
        <v>0</v>
      </c>
      <c r="D90">
        <v>0</v>
      </c>
      <c r="E90">
        <v>1</v>
      </c>
      <c r="F90">
        <v>1</v>
      </c>
      <c r="G90">
        <v>1</v>
      </c>
      <c r="H90">
        <v>1</v>
      </c>
      <c r="I90">
        <v>0</v>
      </c>
      <c r="J90">
        <v>1</v>
      </c>
      <c r="K90">
        <v>1</v>
      </c>
      <c r="L90">
        <v>0</v>
      </c>
      <c r="M90">
        <v>0</v>
      </c>
      <c r="N90">
        <v>1</v>
      </c>
      <c r="O90">
        <v>1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0.70982063701817666</v>
      </c>
      <c r="AE90">
        <v>1.8647182097790319E-2</v>
      </c>
      <c r="AF90">
        <f t="shared" si="2"/>
        <v>2.6270273256809826</v>
      </c>
      <c r="AG90" t="b">
        <f t="shared" si="3"/>
        <v>1</v>
      </c>
    </row>
    <row r="91" spans="1:33" x14ac:dyDescent="0.2">
      <c r="A91" s="4">
        <v>1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0.48747824394714961</v>
      </c>
      <c r="AE91">
        <v>2.2908287225334941E-2</v>
      </c>
      <c r="AF91">
        <f t="shared" si="2"/>
        <v>4.6993455625516214</v>
      </c>
      <c r="AG91" t="b">
        <f t="shared" si="3"/>
        <v>1</v>
      </c>
    </row>
    <row r="92" spans="1:33" x14ac:dyDescent="0.2">
      <c r="A92" s="4">
        <v>2</v>
      </c>
      <c r="B92">
        <v>1</v>
      </c>
      <c r="C92">
        <v>0</v>
      </c>
      <c r="D92">
        <v>0</v>
      </c>
      <c r="E92">
        <v>1</v>
      </c>
      <c r="F92">
        <v>0</v>
      </c>
      <c r="G92">
        <v>1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0.46263831419904311</v>
      </c>
      <c r="AE92">
        <v>3.9700339843523362E-3</v>
      </c>
      <c r="AF92">
        <f t="shared" si="2"/>
        <v>0.85812909620889932</v>
      </c>
      <c r="AG92" t="b">
        <f t="shared" si="3"/>
        <v>1</v>
      </c>
    </row>
    <row r="93" spans="1:33" x14ac:dyDescent="0.2">
      <c r="A93" s="4">
        <v>3</v>
      </c>
      <c r="B93">
        <v>1</v>
      </c>
      <c r="C93">
        <v>0</v>
      </c>
      <c r="D93">
        <v>0</v>
      </c>
      <c r="E93">
        <v>1</v>
      </c>
      <c r="F93">
        <v>0</v>
      </c>
      <c r="G93">
        <v>1</v>
      </c>
      <c r="H93">
        <v>1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0.45098501895393572</v>
      </c>
      <c r="AE93">
        <v>8.8015052671100522E-3</v>
      </c>
      <c r="AF93">
        <f t="shared" si="2"/>
        <v>1.9516181019771415</v>
      </c>
      <c r="AG93" t="b">
        <f t="shared" si="3"/>
        <v>1</v>
      </c>
    </row>
    <row r="94" spans="1:33" x14ac:dyDescent="0.2">
      <c r="A94" s="4">
        <v>4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0.55008564679703764</v>
      </c>
      <c r="AE94">
        <v>5.8426504836833206E-4</v>
      </c>
      <c r="AF94">
        <f t="shared" si="2"/>
        <v>0.10621346907891697</v>
      </c>
      <c r="AG94" t="b">
        <f t="shared" si="3"/>
        <v>1</v>
      </c>
    </row>
    <row r="95" spans="1:33" x14ac:dyDescent="0.2">
      <c r="A95" s="4">
        <v>5</v>
      </c>
      <c r="B95">
        <v>1</v>
      </c>
      <c r="C95">
        <v>0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0.57416374668103443</v>
      </c>
      <c r="AE95">
        <v>3.4768403087800251E-3</v>
      </c>
      <c r="AF95">
        <f t="shared" si="2"/>
        <v>0.60554856151715841</v>
      </c>
      <c r="AG95" t="b">
        <f t="shared" si="3"/>
        <v>1</v>
      </c>
    </row>
    <row r="96" spans="1:33" x14ac:dyDescent="0.2">
      <c r="A96" s="4">
        <v>6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0.52537446318020464</v>
      </c>
      <c r="AE96">
        <v>7.6645624894044516E-3</v>
      </c>
      <c r="AF96">
        <f t="shared" si="2"/>
        <v>1.4588761020109744</v>
      </c>
      <c r="AG96" t="b">
        <f t="shared" si="3"/>
        <v>1</v>
      </c>
    </row>
    <row r="97" spans="1:33" x14ac:dyDescent="0.2">
      <c r="A97" s="4">
        <v>7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0.59062697927855434</v>
      </c>
      <c r="AE97">
        <v>1.0539073370809121E-2</v>
      </c>
      <c r="AF97">
        <f t="shared" si="2"/>
        <v>1.7843873951851141</v>
      </c>
      <c r="AG97" t="b">
        <f t="shared" si="3"/>
        <v>1</v>
      </c>
    </row>
    <row r="98" spans="1:33" x14ac:dyDescent="0.2">
      <c r="A98" s="4">
        <v>8</v>
      </c>
      <c r="B98">
        <v>1</v>
      </c>
      <c r="C98">
        <v>0</v>
      </c>
      <c r="D98">
        <v>0</v>
      </c>
      <c r="E98">
        <v>0</v>
      </c>
      <c r="F98">
        <v>1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0.62629408615185944</v>
      </c>
      <c r="AE98">
        <v>1.253065730196808E-3</v>
      </c>
      <c r="AF98">
        <f t="shared" si="2"/>
        <v>0.20007625138152321</v>
      </c>
      <c r="AG98" t="b">
        <f t="shared" si="3"/>
        <v>1</v>
      </c>
    </row>
    <row r="99" spans="1:33" x14ac:dyDescent="0.2">
      <c r="A99" s="4">
        <v>9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>
        <v>1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0.54674039321791479</v>
      </c>
      <c r="AE99">
        <v>7.9876469566824305E-3</v>
      </c>
      <c r="AF99">
        <f t="shared" si="2"/>
        <v>1.4609578980748157</v>
      </c>
      <c r="AG99" t="b">
        <f t="shared" si="3"/>
        <v>1</v>
      </c>
    </row>
    <row r="100" spans="1:33" x14ac:dyDescent="0.2">
      <c r="A100" s="4">
        <v>10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0.46615780343952212</v>
      </c>
      <c r="AE100">
        <v>1.3037028380568001E-3</v>
      </c>
      <c r="AF100">
        <f t="shared" si="2"/>
        <v>0.27966985180500969</v>
      </c>
      <c r="AG100" t="b">
        <f t="shared" si="3"/>
        <v>1</v>
      </c>
    </row>
    <row r="101" spans="1:33" x14ac:dyDescent="0.2">
      <c r="A101" s="4">
        <v>11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1</v>
      </c>
      <c r="AA101">
        <v>0</v>
      </c>
      <c r="AB101">
        <v>0</v>
      </c>
      <c r="AC101">
        <v>0</v>
      </c>
      <c r="AD101">
        <v>0.42823239539703578</v>
      </c>
      <c r="AE101">
        <v>2.5050274942234299E-3</v>
      </c>
      <c r="AF101">
        <f t="shared" si="2"/>
        <v>0.58496917121389036</v>
      </c>
      <c r="AG101" t="b">
        <f t="shared" si="3"/>
        <v>1</v>
      </c>
    </row>
    <row r="102" spans="1:33" x14ac:dyDescent="0.2">
      <c r="A102" s="4">
        <v>12</v>
      </c>
      <c r="B102">
        <v>1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0</v>
      </c>
      <c r="U102">
        <v>0</v>
      </c>
      <c r="V102">
        <v>1</v>
      </c>
      <c r="W102">
        <v>1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0.63847642616880929</v>
      </c>
      <c r="AE102">
        <v>4.2929436637766686E-3</v>
      </c>
      <c r="AF102">
        <f t="shared" si="2"/>
        <v>0.67237308815559005</v>
      </c>
      <c r="AG102" t="b">
        <f t="shared" si="3"/>
        <v>1</v>
      </c>
    </row>
    <row r="103" spans="1:33" x14ac:dyDescent="0.2">
      <c r="A103" s="4">
        <v>13</v>
      </c>
      <c r="B103">
        <v>1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0</v>
      </c>
      <c r="U103">
        <v>0</v>
      </c>
      <c r="V103">
        <v>1</v>
      </c>
      <c r="W103">
        <v>1</v>
      </c>
      <c r="X103">
        <v>1</v>
      </c>
      <c r="Y103">
        <v>0</v>
      </c>
      <c r="Z103">
        <v>0</v>
      </c>
      <c r="AA103">
        <v>1</v>
      </c>
      <c r="AB103">
        <v>1</v>
      </c>
      <c r="AC103">
        <v>1</v>
      </c>
      <c r="AD103">
        <v>0.85443366393834763</v>
      </c>
      <c r="AE103">
        <v>5.4131337241158546E-3</v>
      </c>
      <c r="AF103">
        <f t="shared" si="2"/>
        <v>0.63353469702551934</v>
      </c>
      <c r="AG103" t="b">
        <f t="shared" si="3"/>
        <v>1</v>
      </c>
    </row>
    <row r="104" spans="1:33" x14ac:dyDescent="0.2">
      <c r="A104" s="4">
        <v>14</v>
      </c>
      <c r="B104">
        <v>1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0</v>
      </c>
      <c r="U104">
        <v>0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0.52304775436448891</v>
      </c>
      <c r="AE104">
        <v>1.0548028526300379E-2</v>
      </c>
      <c r="AF104">
        <f t="shared" si="2"/>
        <v>2.0166473210684934</v>
      </c>
      <c r="AG104" t="b">
        <f t="shared" si="3"/>
        <v>1</v>
      </c>
    </row>
    <row r="105" spans="1:33" x14ac:dyDescent="0.2">
      <c r="A105" s="4">
        <v>15</v>
      </c>
      <c r="B105">
        <v>1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0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0.76652893619289453</v>
      </c>
      <c r="AE105">
        <v>8.3570130085490121E-3</v>
      </c>
      <c r="AF105">
        <f t="shared" si="2"/>
        <v>1.0902410351337339</v>
      </c>
      <c r="AG105" t="b">
        <f t="shared" si="3"/>
        <v>1</v>
      </c>
    </row>
    <row r="106" spans="1:33" x14ac:dyDescent="0.2">
      <c r="A106" s="4">
        <v>1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0.41804663709628709</v>
      </c>
      <c r="AE106">
        <v>1.0867550787295991E-2</v>
      </c>
      <c r="AF106">
        <f t="shared" si="2"/>
        <v>2.5996024899951315</v>
      </c>
      <c r="AG106" t="b">
        <f t="shared" si="3"/>
        <v>1</v>
      </c>
    </row>
    <row r="107" spans="1:33" x14ac:dyDescent="0.2">
      <c r="A107" s="4">
        <v>2</v>
      </c>
      <c r="B107">
        <v>0</v>
      </c>
      <c r="C107">
        <v>1</v>
      </c>
      <c r="D107">
        <v>0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0.89931199347118118</v>
      </c>
      <c r="AE107">
        <v>6.1023433734117916E-3</v>
      </c>
      <c r="AF107">
        <f t="shared" si="2"/>
        <v>0.67855687655825125</v>
      </c>
      <c r="AG107" t="b">
        <f t="shared" si="3"/>
        <v>1</v>
      </c>
    </row>
    <row r="108" spans="1:33" x14ac:dyDescent="0.2">
      <c r="A108" s="4">
        <v>3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0.37226498676703168</v>
      </c>
      <c r="AE108">
        <v>1.0594244265274321E-3</v>
      </c>
      <c r="AF108">
        <f t="shared" si="2"/>
        <v>0.28458879136823945</v>
      </c>
      <c r="AG108" t="b">
        <f t="shared" si="3"/>
        <v>1</v>
      </c>
    </row>
    <row r="109" spans="1:33" x14ac:dyDescent="0.2">
      <c r="A109" s="4">
        <v>4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0.38479944699847007</v>
      </c>
      <c r="AE109">
        <v>1.861205107463319E-2</v>
      </c>
      <c r="AF109">
        <f t="shared" si="2"/>
        <v>4.8368185608923673</v>
      </c>
      <c r="AG109" t="b">
        <f t="shared" si="3"/>
        <v>1</v>
      </c>
    </row>
    <row r="110" spans="1:33" x14ac:dyDescent="0.2">
      <c r="A110" s="4">
        <v>5</v>
      </c>
      <c r="B110">
        <v>0</v>
      </c>
      <c r="C110">
        <v>1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0.37601430176682649</v>
      </c>
      <c r="AE110">
        <v>5.8191112966586144E-3</v>
      </c>
      <c r="AF110">
        <f t="shared" si="2"/>
        <v>1.5475771185605474</v>
      </c>
      <c r="AG110" t="b">
        <f t="shared" si="3"/>
        <v>1</v>
      </c>
    </row>
    <row r="111" spans="1:33" x14ac:dyDescent="0.2">
      <c r="A111" s="4">
        <v>6</v>
      </c>
      <c r="B111">
        <v>0</v>
      </c>
      <c r="C111">
        <v>1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1</v>
      </c>
      <c r="Q111">
        <v>1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0.54957423978481468</v>
      </c>
      <c r="AE111">
        <v>1.7191590218186718E-2</v>
      </c>
      <c r="AF111">
        <f t="shared" si="2"/>
        <v>3.1281652183912532</v>
      </c>
      <c r="AG111" t="b">
        <f t="shared" si="3"/>
        <v>1</v>
      </c>
    </row>
    <row r="112" spans="1:33" x14ac:dyDescent="0.2">
      <c r="A112" s="4">
        <v>7</v>
      </c>
      <c r="B112">
        <v>0</v>
      </c>
      <c r="C112">
        <v>1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0.44627380764766428</v>
      </c>
      <c r="AE112">
        <v>9.7612671309064123E-4</v>
      </c>
      <c r="AF112">
        <f t="shared" si="2"/>
        <v>0.21872821043113935</v>
      </c>
      <c r="AG112" t="b">
        <f t="shared" si="3"/>
        <v>1</v>
      </c>
    </row>
    <row r="113" spans="1:34" x14ac:dyDescent="0.2">
      <c r="A113" s="4">
        <v>8</v>
      </c>
      <c r="B113">
        <v>0</v>
      </c>
      <c r="C113">
        <v>1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0</v>
      </c>
      <c r="U113">
        <v>0</v>
      </c>
      <c r="V113">
        <v>1</v>
      </c>
      <c r="W113">
        <v>1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0.50884043407504731</v>
      </c>
      <c r="AE113">
        <v>7.9913216928039314E-3</v>
      </c>
      <c r="AF113">
        <f t="shared" si="2"/>
        <v>1.5704965953286085</v>
      </c>
      <c r="AG113" t="b">
        <f t="shared" si="3"/>
        <v>1</v>
      </c>
    </row>
    <row r="114" spans="1:34" x14ac:dyDescent="0.2">
      <c r="A114" s="4">
        <v>9</v>
      </c>
      <c r="B114">
        <v>0</v>
      </c>
      <c r="C114">
        <v>1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0.66229907886707051</v>
      </c>
      <c r="AE114">
        <v>3.889109908174722E-3</v>
      </c>
      <c r="AF114">
        <f t="shared" si="2"/>
        <v>0.58721354630712119</v>
      </c>
      <c r="AG114" t="b">
        <f t="shared" si="3"/>
        <v>1</v>
      </c>
    </row>
    <row r="115" spans="1:34" x14ac:dyDescent="0.2">
      <c r="A115" s="4">
        <v>10</v>
      </c>
      <c r="B115">
        <v>0</v>
      </c>
      <c r="C115">
        <v>1</v>
      </c>
      <c r="D115">
        <v>0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0.80981860613838375</v>
      </c>
      <c r="AE115">
        <v>2.983687198587829E-2</v>
      </c>
      <c r="AF115">
        <f t="shared" si="2"/>
        <v>3.6843895360907148</v>
      </c>
      <c r="AG115" t="b">
        <f t="shared" si="3"/>
        <v>1</v>
      </c>
    </row>
    <row r="116" spans="1:34" x14ac:dyDescent="0.2">
      <c r="A116" s="4">
        <v>11</v>
      </c>
      <c r="B116">
        <v>0</v>
      </c>
      <c r="C116">
        <v>1</v>
      </c>
      <c r="D116">
        <v>0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0</v>
      </c>
      <c r="AB116">
        <v>0</v>
      </c>
      <c r="AC116">
        <v>0</v>
      </c>
      <c r="AD116">
        <v>0.84308337506646214</v>
      </c>
      <c r="AE116">
        <v>7.5839128856669486E-3</v>
      </c>
      <c r="AF116">
        <f t="shared" si="2"/>
        <v>0.89954482675798142</v>
      </c>
      <c r="AG116" t="b">
        <f t="shared" si="3"/>
        <v>1</v>
      </c>
    </row>
    <row r="117" spans="1:34" x14ac:dyDescent="0.2">
      <c r="A117" s="4">
        <v>12</v>
      </c>
      <c r="B117">
        <v>0</v>
      </c>
      <c r="C117">
        <v>1</v>
      </c>
      <c r="D117">
        <v>0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0</v>
      </c>
      <c r="Z117">
        <v>0</v>
      </c>
      <c r="AA117">
        <v>1</v>
      </c>
      <c r="AB117">
        <v>1</v>
      </c>
      <c r="AC117">
        <v>1</v>
      </c>
      <c r="AD117">
        <v>0.74140889376172603</v>
      </c>
      <c r="AE117">
        <v>1.2617656079738819E-3</v>
      </c>
      <c r="AF117">
        <f t="shared" si="2"/>
        <v>0.17018484922294286</v>
      </c>
      <c r="AG117" t="b">
        <f t="shared" si="3"/>
        <v>1</v>
      </c>
    </row>
    <row r="118" spans="1:34" x14ac:dyDescent="0.2">
      <c r="A118" s="4">
        <v>13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1</v>
      </c>
      <c r="AA118">
        <v>0</v>
      </c>
      <c r="AB118">
        <v>0</v>
      </c>
      <c r="AC118">
        <v>0</v>
      </c>
      <c r="AD118">
        <v>0.36443633151377608</v>
      </c>
      <c r="AE118">
        <v>1.14185235790685E-3</v>
      </c>
      <c r="AF118">
        <f t="shared" si="2"/>
        <v>0.31332012183414448</v>
      </c>
      <c r="AG118" t="b">
        <f t="shared" si="3"/>
        <v>1</v>
      </c>
    </row>
    <row r="119" spans="1:34" x14ac:dyDescent="0.2">
      <c r="A119" s="4">
        <v>14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1</v>
      </c>
      <c r="AC119">
        <v>1</v>
      </c>
      <c r="AD119">
        <v>0.4652064586147398</v>
      </c>
      <c r="AE119">
        <v>6.5188749716355073E-3</v>
      </c>
      <c r="AF119">
        <f t="shared" si="2"/>
        <v>1.4012864290506566</v>
      </c>
      <c r="AG119" t="b">
        <f t="shared" si="3"/>
        <v>1</v>
      </c>
    </row>
    <row r="120" spans="1:34" x14ac:dyDescent="0.2">
      <c r="A120" s="4">
        <v>15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0.37780105002636688</v>
      </c>
      <c r="AE120">
        <v>2.2318452511214939E-3</v>
      </c>
      <c r="AF120">
        <f t="shared" si="2"/>
        <v>0.59074617473025359</v>
      </c>
      <c r="AG120" t="b">
        <f t="shared" si="3"/>
        <v>1</v>
      </c>
    </row>
    <row r="121" spans="1:34" x14ac:dyDescent="0.2">
      <c r="A121" s="4">
        <v>16</v>
      </c>
      <c r="B121">
        <v>0</v>
      </c>
      <c r="C121">
        <v>1</v>
      </c>
      <c r="D121">
        <v>0</v>
      </c>
      <c r="E121">
        <v>1</v>
      </c>
      <c r="F121">
        <v>0</v>
      </c>
      <c r="G121">
        <v>1</v>
      </c>
      <c r="H121">
        <v>1</v>
      </c>
      <c r="I121">
        <v>0</v>
      </c>
      <c r="J121">
        <v>1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0.43104755786992233</v>
      </c>
      <c r="AE121">
        <v>1.5362465735451501E-2</v>
      </c>
      <c r="AF121">
        <f t="shared" si="2"/>
        <v>3.5639839398156266</v>
      </c>
      <c r="AG121" t="b">
        <f t="shared" si="3"/>
        <v>1</v>
      </c>
    </row>
    <row r="122" spans="1:34" x14ac:dyDescent="0.2">
      <c r="A122" s="4">
        <v>17</v>
      </c>
      <c r="B122">
        <v>0</v>
      </c>
      <c r="C122">
        <v>1</v>
      </c>
      <c r="D122">
        <v>0</v>
      </c>
      <c r="E122">
        <v>1</v>
      </c>
      <c r="F122">
        <v>0</v>
      </c>
      <c r="G122">
        <v>1</v>
      </c>
      <c r="H122">
        <v>1</v>
      </c>
      <c r="I122">
        <v>0</v>
      </c>
      <c r="J122">
        <v>1</v>
      </c>
      <c r="K122">
        <v>1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1</v>
      </c>
      <c r="U122">
        <v>1</v>
      </c>
      <c r="V122">
        <v>1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0.51879691353610347</v>
      </c>
      <c r="AE122">
        <v>2.008972535661974E-2</v>
      </c>
      <c r="AF122">
        <f t="shared" si="2"/>
        <v>3.8723679406048896</v>
      </c>
      <c r="AG122" t="b">
        <f t="shared" si="3"/>
        <v>1</v>
      </c>
    </row>
    <row r="123" spans="1:34" x14ac:dyDescent="0.2">
      <c r="A123" s="4">
        <v>18</v>
      </c>
      <c r="B123">
        <v>0</v>
      </c>
      <c r="C123">
        <v>1</v>
      </c>
      <c r="D123">
        <v>0</v>
      </c>
      <c r="E123">
        <v>1</v>
      </c>
      <c r="F123">
        <v>0</v>
      </c>
      <c r="G123">
        <v>1</v>
      </c>
      <c r="H123">
        <v>1</v>
      </c>
      <c r="I123">
        <v>0</v>
      </c>
      <c r="J123">
        <v>1</v>
      </c>
      <c r="K123">
        <v>1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1</v>
      </c>
      <c r="U123">
        <v>1</v>
      </c>
      <c r="V123">
        <v>1</v>
      </c>
      <c r="W123">
        <v>1</v>
      </c>
      <c r="X123">
        <v>0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0.38737666805601612</v>
      </c>
      <c r="AE123">
        <v>3.1432604308156459E-3</v>
      </c>
      <c r="AF123">
        <f t="shared" si="2"/>
        <v>0.81142223835771099</v>
      </c>
      <c r="AG123" t="b">
        <f t="shared" si="3"/>
        <v>1</v>
      </c>
    </row>
    <row r="124" spans="1:34" x14ac:dyDescent="0.2">
      <c r="A124" s="4">
        <v>19</v>
      </c>
      <c r="B124">
        <v>0</v>
      </c>
      <c r="C124">
        <v>1</v>
      </c>
      <c r="D124">
        <v>0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0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0.50219311314351334</v>
      </c>
      <c r="AE124">
        <v>2.0999593922924061E-2</v>
      </c>
      <c r="AF124">
        <f t="shared" si="2"/>
        <v>4.1815774396975733</v>
      </c>
      <c r="AG124" t="b">
        <f t="shared" si="3"/>
        <v>1</v>
      </c>
      <c r="AH124" t="s">
        <v>85</v>
      </c>
    </row>
    <row r="125" spans="1:34" x14ac:dyDescent="0.2">
      <c r="A125" s="4">
        <v>11</v>
      </c>
      <c r="B125">
        <v>0</v>
      </c>
      <c r="C125">
        <v>1</v>
      </c>
      <c r="D125">
        <v>0</v>
      </c>
      <c r="E125">
        <v>1</v>
      </c>
      <c r="F125">
        <v>0</v>
      </c>
      <c r="G125">
        <v>1</v>
      </c>
      <c r="H125">
        <v>1</v>
      </c>
      <c r="I125">
        <v>0</v>
      </c>
      <c r="J125">
        <v>1</v>
      </c>
      <c r="K125">
        <v>1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0.37477967269433088</v>
      </c>
      <c r="AE125">
        <v>4.8603070810243933E-3</v>
      </c>
      <c r="AF125">
        <f t="shared" si="2"/>
        <v>1.2968438352280767</v>
      </c>
      <c r="AG125" t="b">
        <f t="shared" si="3"/>
        <v>1</v>
      </c>
    </row>
    <row r="126" spans="1:34" x14ac:dyDescent="0.2">
      <c r="A126" s="4">
        <v>12</v>
      </c>
      <c r="B126">
        <v>0</v>
      </c>
      <c r="C126">
        <v>1</v>
      </c>
      <c r="D126">
        <v>0</v>
      </c>
      <c r="E126">
        <v>1</v>
      </c>
      <c r="F126">
        <v>1</v>
      </c>
      <c r="G126">
        <v>1</v>
      </c>
      <c r="H126">
        <v>1</v>
      </c>
      <c r="I126">
        <v>0</v>
      </c>
      <c r="J126">
        <v>1</v>
      </c>
      <c r="K126">
        <v>1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1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0.41077396951857359</v>
      </c>
      <c r="AE126">
        <v>2.1054633707947778E-3</v>
      </c>
      <c r="AF126">
        <f t="shared" si="2"/>
        <v>0.51256007610764076</v>
      </c>
      <c r="AG126" t="b">
        <f t="shared" si="3"/>
        <v>1</v>
      </c>
    </row>
    <row r="127" spans="1:34" x14ac:dyDescent="0.2">
      <c r="A127" s="4">
        <v>13</v>
      </c>
      <c r="B127">
        <v>0</v>
      </c>
      <c r="C127">
        <v>1</v>
      </c>
      <c r="D127">
        <v>0</v>
      </c>
      <c r="E127">
        <v>1</v>
      </c>
      <c r="F127">
        <v>1</v>
      </c>
      <c r="G127">
        <v>1</v>
      </c>
      <c r="H127">
        <v>1</v>
      </c>
      <c r="I127">
        <v>0</v>
      </c>
      <c r="J127">
        <v>1</v>
      </c>
      <c r="K127">
        <v>1</v>
      </c>
      <c r="L127">
        <v>1</v>
      </c>
      <c r="M127">
        <v>0</v>
      </c>
      <c r="N127">
        <v>1</v>
      </c>
      <c r="O127">
        <v>1</v>
      </c>
      <c r="P127">
        <v>0</v>
      </c>
      <c r="Q127">
        <v>0</v>
      </c>
      <c r="R127">
        <v>0</v>
      </c>
      <c r="S127">
        <v>1</v>
      </c>
      <c r="T127">
        <v>1</v>
      </c>
      <c r="U127">
        <v>1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0.59412662643901271</v>
      </c>
      <c r="AE127">
        <v>7.7382065490691748E-3</v>
      </c>
      <c r="AF127">
        <f t="shared" si="2"/>
        <v>1.3024507242587795</v>
      </c>
      <c r="AG127" t="b">
        <f t="shared" si="3"/>
        <v>1</v>
      </c>
    </row>
    <row r="128" spans="1:34" x14ac:dyDescent="0.2">
      <c r="A128" s="4">
        <v>14</v>
      </c>
      <c r="B128">
        <v>0</v>
      </c>
      <c r="C128">
        <v>1</v>
      </c>
      <c r="D128">
        <v>0</v>
      </c>
      <c r="E128">
        <v>1</v>
      </c>
      <c r="F128">
        <v>1</v>
      </c>
      <c r="G128">
        <v>1</v>
      </c>
      <c r="H128">
        <v>1</v>
      </c>
      <c r="I128">
        <v>0</v>
      </c>
      <c r="J128">
        <v>1</v>
      </c>
      <c r="K128">
        <v>1</v>
      </c>
      <c r="L128">
        <v>1</v>
      </c>
      <c r="M128">
        <v>0</v>
      </c>
      <c r="N128">
        <v>1</v>
      </c>
      <c r="O128">
        <v>1</v>
      </c>
      <c r="P128">
        <v>1</v>
      </c>
      <c r="Q128">
        <v>0</v>
      </c>
      <c r="R128">
        <v>0</v>
      </c>
      <c r="S128">
        <v>1</v>
      </c>
      <c r="T128">
        <v>1</v>
      </c>
      <c r="U128">
        <v>1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0.5754304709039082</v>
      </c>
      <c r="AE128">
        <v>4.3636082225206223E-3</v>
      </c>
      <c r="AF128">
        <f t="shared" si="2"/>
        <v>0.75832067350658361</v>
      </c>
      <c r="AG128" t="b">
        <f t="shared" si="3"/>
        <v>1</v>
      </c>
    </row>
    <row r="129" spans="1:33" x14ac:dyDescent="0.2">
      <c r="A129" s="4">
        <v>15</v>
      </c>
      <c r="B129">
        <v>0</v>
      </c>
      <c r="C129">
        <v>1</v>
      </c>
      <c r="D129">
        <v>0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0</v>
      </c>
      <c r="N129">
        <v>1</v>
      </c>
      <c r="O129">
        <v>1</v>
      </c>
      <c r="P129">
        <v>1</v>
      </c>
      <c r="Q129">
        <v>1</v>
      </c>
      <c r="R129">
        <v>0</v>
      </c>
      <c r="S129">
        <v>1</v>
      </c>
      <c r="T129">
        <v>1</v>
      </c>
      <c r="U129">
        <v>1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0.65646211861144355</v>
      </c>
      <c r="AE129">
        <v>2.997222992303717E-3</v>
      </c>
      <c r="AF129">
        <f t="shared" si="2"/>
        <v>0.45657211700859124</v>
      </c>
      <c r="AG129" t="b">
        <f t="shared" si="3"/>
        <v>1</v>
      </c>
    </row>
    <row r="130" spans="1:33" x14ac:dyDescent="0.2">
      <c r="A130" s="4">
        <v>16</v>
      </c>
      <c r="B130">
        <v>0</v>
      </c>
      <c r="C130">
        <v>1</v>
      </c>
      <c r="D130">
        <v>0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0</v>
      </c>
      <c r="S130">
        <v>1</v>
      </c>
      <c r="T130">
        <v>1</v>
      </c>
      <c r="U130">
        <v>1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0.65768316972727414</v>
      </c>
      <c r="AE130">
        <v>1.9966591062924839E-3</v>
      </c>
      <c r="AF130">
        <f t="shared" ref="AF130:AF193" si="4">100*AE130/AD130</f>
        <v>0.30358981318017486</v>
      </c>
      <c r="AG130" t="b">
        <f t="shared" ref="AG130:AG193" si="5">(AF130&lt;15)</f>
        <v>1</v>
      </c>
    </row>
    <row r="131" spans="1:33" x14ac:dyDescent="0.2">
      <c r="A131" s="4">
        <v>17</v>
      </c>
      <c r="B131">
        <v>0</v>
      </c>
      <c r="C131">
        <v>1</v>
      </c>
      <c r="D131">
        <v>0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0.79560005800998912</v>
      </c>
      <c r="AE131">
        <v>2.391403548404538E-2</v>
      </c>
      <c r="AF131">
        <f t="shared" si="4"/>
        <v>3.0057860407729042</v>
      </c>
      <c r="AG131" t="b">
        <f t="shared" si="5"/>
        <v>1</v>
      </c>
    </row>
    <row r="132" spans="1:33" x14ac:dyDescent="0.2">
      <c r="A132" s="4">
        <v>18</v>
      </c>
      <c r="B132">
        <v>0</v>
      </c>
      <c r="C132">
        <v>1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1</v>
      </c>
      <c r="J132">
        <v>1</v>
      </c>
      <c r="K132">
        <v>1</v>
      </c>
      <c r="L132">
        <v>0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0</v>
      </c>
      <c r="U132">
        <v>0</v>
      </c>
      <c r="V132">
        <v>1</v>
      </c>
      <c r="W132">
        <v>1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0.49887063850128449</v>
      </c>
      <c r="AE132">
        <v>1.5647661939520711E-2</v>
      </c>
      <c r="AF132">
        <f t="shared" si="4"/>
        <v>3.1366171371659952</v>
      </c>
      <c r="AG132" t="b">
        <f t="shared" si="5"/>
        <v>1</v>
      </c>
    </row>
    <row r="133" spans="1:33" x14ac:dyDescent="0.2">
      <c r="A133" s="4">
        <v>19</v>
      </c>
      <c r="B133">
        <v>0</v>
      </c>
      <c r="C133">
        <v>1</v>
      </c>
      <c r="D133">
        <v>0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0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0</v>
      </c>
      <c r="U133">
        <v>0</v>
      </c>
      <c r="V133">
        <v>1</v>
      </c>
      <c r="W133">
        <v>1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0.49797023230172022</v>
      </c>
      <c r="AE133">
        <v>1.5172200397242661E-3</v>
      </c>
      <c r="AF133">
        <f t="shared" si="4"/>
        <v>0.30468087072421274</v>
      </c>
      <c r="AG133" t="b">
        <f t="shared" si="5"/>
        <v>1</v>
      </c>
    </row>
    <row r="134" spans="1:33" x14ac:dyDescent="0.2">
      <c r="A134" s="4">
        <v>20</v>
      </c>
      <c r="B134">
        <v>0</v>
      </c>
      <c r="C134">
        <v>1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0.73300736254412513</v>
      </c>
      <c r="AE134">
        <v>1.2329775757032519E-2</v>
      </c>
      <c r="AF134">
        <f t="shared" si="4"/>
        <v>1.6820807521275476</v>
      </c>
      <c r="AG134" t="b">
        <f t="shared" si="5"/>
        <v>1</v>
      </c>
    </row>
    <row r="135" spans="1:33" x14ac:dyDescent="0.2">
      <c r="A135" s="4">
        <v>21</v>
      </c>
      <c r="B135">
        <v>0</v>
      </c>
      <c r="C135">
        <v>1</v>
      </c>
      <c r="D135">
        <v>0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0</v>
      </c>
      <c r="K135">
        <v>0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0.66047464906016184</v>
      </c>
      <c r="AE135">
        <v>1.43344168732317E-2</v>
      </c>
      <c r="AF135">
        <f t="shared" si="4"/>
        <v>2.1703205253417672</v>
      </c>
      <c r="AG135" t="b">
        <f t="shared" si="5"/>
        <v>1</v>
      </c>
    </row>
    <row r="136" spans="1:33" x14ac:dyDescent="0.2">
      <c r="A136" s="4">
        <v>22</v>
      </c>
      <c r="B136">
        <v>0</v>
      </c>
      <c r="C136">
        <v>1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0.65859491337163789</v>
      </c>
      <c r="AE136">
        <v>2.7662794710759851E-2</v>
      </c>
      <c r="AF136">
        <f t="shared" si="4"/>
        <v>4.2002745768475194</v>
      </c>
      <c r="AG136" t="b">
        <f t="shared" si="5"/>
        <v>1</v>
      </c>
    </row>
    <row r="137" spans="1:33" x14ac:dyDescent="0.2">
      <c r="A137" s="4">
        <v>24</v>
      </c>
      <c r="B137">
        <v>0</v>
      </c>
      <c r="C137">
        <v>1</v>
      </c>
      <c r="D137">
        <v>0</v>
      </c>
      <c r="E137">
        <v>1</v>
      </c>
      <c r="F137">
        <v>1</v>
      </c>
      <c r="G137">
        <v>1</v>
      </c>
      <c r="H137">
        <v>1</v>
      </c>
      <c r="I137">
        <v>0</v>
      </c>
      <c r="J137">
        <v>1</v>
      </c>
      <c r="K137">
        <v>1</v>
      </c>
      <c r="L137">
        <v>1</v>
      </c>
      <c r="M137">
        <v>0</v>
      </c>
      <c r="N137">
        <v>1</v>
      </c>
      <c r="O137">
        <v>1</v>
      </c>
      <c r="P137">
        <v>1</v>
      </c>
      <c r="Q137">
        <v>0</v>
      </c>
      <c r="R137">
        <v>0</v>
      </c>
      <c r="S137">
        <v>1</v>
      </c>
      <c r="T137">
        <v>1</v>
      </c>
      <c r="U137">
        <v>1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0.5802481545425423</v>
      </c>
      <c r="AE137">
        <v>1.16318827981168E-2</v>
      </c>
      <c r="AF137">
        <f t="shared" si="4"/>
        <v>2.0046393438833383</v>
      </c>
      <c r="AG137" t="b">
        <f t="shared" si="5"/>
        <v>1</v>
      </c>
    </row>
    <row r="138" spans="1:33" x14ac:dyDescent="0.2">
      <c r="A138" s="4">
        <v>25</v>
      </c>
      <c r="B138">
        <v>0</v>
      </c>
      <c r="C138">
        <v>1</v>
      </c>
      <c r="D138">
        <v>0</v>
      </c>
      <c r="E138">
        <v>1</v>
      </c>
      <c r="F138">
        <v>1</v>
      </c>
      <c r="G138">
        <v>1</v>
      </c>
      <c r="H138">
        <v>1</v>
      </c>
      <c r="I138">
        <v>0</v>
      </c>
      <c r="J138">
        <v>1</v>
      </c>
      <c r="K138">
        <v>1</v>
      </c>
      <c r="L138">
        <v>0</v>
      </c>
      <c r="M138">
        <v>0</v>
      </c>
      <c r="N138">
        <v>1</v>
      </c>
      <c r="O138">
        <v>1</v>
      </c>
      <c r="P138">
        <v>1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0.47544196233058977</v>
      </c>
      <c r="AE138">
        <v>4.549722821809263E-3</v>
      </c>
      <c r="AF138">
        <f t="shared" si="4"/>
        <v>0.95694599599639407</v>
      </c>
      <c r="AG138" t="b">
        <f t="shared" si="5"/>
        <v>1</v>
      </c>
    </row>
    <row r="139" spans="1:33" x14ac:dyDescent="0.2">
      <c r="A139" s="4">
        <v>26</v>
      </c>
      <c r="B139">
        <v>0</v>
      </c>
      <c r="C139">
        <v>1</v>
      </c>
      <c r="D139">
        <v>0</v>
      </c>
      <c r="E139">
        <v>1</v>
      </c>
      <c r="F139">
        <v>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1</v>
      </c>
      <c r="R139">
        <v>1</v>
      </c>
      <c r="S139">
        <v>0</v>
      </c>
      <c r="T139">
        <v>0</v>
      </c>
      <c r="U139">
        <v>0</v>
      </c>
      <c r="V139">
        <v>1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0.42051762537220322</v>
      </c>
      <c r="AE139">
        <v>4.9684040093986763E-3</v>
      </c>
      <c r="AF139">
        <f t="shared" si="4"/>
        <v>1.1814972095405289</v>
      </c>
      <c r="AG139" t="b">
        <f t="shared" si="5"/>
        <v>1</v>
      </c>
    </row>
    <row r="140" spans="1:33" x14ac:dyDescent="0.2">
      <c r="A140" s="4">
        <v>27</v>
      </c>
      <c r="B140">
        <v>0</v>
      </c>
      <c r="C140">
        <v>1</v>
      </c>
      <c r="D140">
        <v>0</v>
      </c>
      <c r="E140">
        <v>1</v>
      </c>
      <c r="F140">
        <v>1</v>
      </c>
      <c r="G140">
        <v>1</v>
      </c>
      <c r="H140">
        <v>1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1</v>
      </c>
      <c r="O140">
        <v>1</v>
      </c>
      <c r="P140">
        <v>1</v>
      </c>
      <c r="Q140">
        <v>0</v>
      </c>
      <c r="R140">
        <v>0</v>
      </c>
      <c r="S140">
        <v>1</v>
      </c>
      <c r="T140">
        <v>1</v>
      </c>
      <c r="U140">
        <v>1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0.47634224502734213</v>
      </c>
      <c r="AE140">
        <v>4.6185748684066828E-3</v>
      </c>
      <c r="AF140">
        <f t="shared" si="4"/>
        <v>0.96959169937606016</v>
      </c>
      <c r="AG140" t="b">
        <f t="shared" si="5"/>
        <v>1</v>
      </c>
    </row>
    <row r="141" spans="1:33" x14ac:dyDescent="0.2">
      <c r="A141" s="4">
        <v>28</v>
      </c>
      <c r="B141">
        <v>0</v>
      </c>
      <c r="C141">
        <v>1</v>
      </c>
      <c r="D141">
        <v>0</v>
      </c>
      <c r="E141">
        <v>1</v>
      </c>
      <c r="F141">
        <v>0</v>
      </c>
      <c r="G141">
        <v>1</v>
      </c>
      <c r="H141">
        <v>1</v>
      </c>
      <c r="I141">
        <v>1</v>
      </c>
      <c r="J141">
        <v>0</v>
      </c>
      <c r="K141">
        <v>0</v>
      </c>
      <c r="L141">
        <v>1</v>
      </c>
      <c r="M141">
        <v>1</v>
      </c>
      <c r="N141">
        <v>0</v>
      </c>
      <c r="O141">
        <v>0</v>
      </c>
      <c r="P141">
        <v>0</v>
      </c>
      <c r="Q141">
        <v>1</v>
      </c>
      <c r="R141">
        <v>1</v>
      </c>
      <c r="S141">
        <v>0</v>
      </c>
      <c r="T141">
        <v>1</v>
      </c>
      <c r="U141">
        <v>1</v>
      </c>
      <c r="V141">
        <v>1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0.54169092262751373</v>
      </c>
      <c r="AE141">
        <v>3.5391291986445257E-2</v>
      </c>
      <c r="AF141">
        <f t="shared" si="4"/>
        <v>6.5334844111429922</v>
      </c>
      <c r="AG141" t="b">
        <f t="shared" si="5"/>
        <v>1</v>
      </c>
    </row>
    <row r="142" spans="1:33" x14ac:dyDescent="0.2">
      <c r="A142" s="4">
        <v>29</v>
      </c>
      <c r="B142">
        <v>0</v>
      </c>
      <c r="C142">
        <v>1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1</v>
      </c>
      <c r="K142">
        <v>1</v>
      </c>
      <c r="L142">
        <v>1</v>
      </c>
      <c r="M142">
        <v>0</v>
      </c>
      <c r="N142">
        <v>1</v>
      </c>
      <c r="O142">
        <v>1</v>
      </c>
      <c r="P142">
        <v>1</v>
      </c>
      <c r="Q142">
        <v>0</v>
      </c>
      <c r="R142">
        <v>0</v>
      </c>
      <c r="S142">
        <v>1</v>
      </c>
      <c r="T142">
        <v>1</v>
      </c>
      <c r="U142">
        <v>1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0.56709068040631649</v>
      </c>
      <c r="AE142">
        <v>5.1552723590308257E-3</v>
      </c>
      <c r="AF142">
        <f t="shared" si="4"/>
        <v>0.90907372262529673</v>
      </c>
      <c r="AG142" t="b">
        <f t="shared" si="5"/>
        <v>1</v>
      </c>
    </row>
    <row r="143" spans="1:33" x14ac:dyDescent="0.2">
      <c r="A143" s="4">
        <v>30</v>
      </c>
      <c r="B143">
        <v>0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0</v>
      </c>
      <c r="O143">
        <v>0</v>
      </c>
      <c r="P143">
        <v>0</v>
      </c>
      <c r="Q143">
        <v>1</v>
      </c>
      <c r="R143">
        <v>1</v>
      </c>
      <c r="S143">
        <v>0</v>
      </c>
      <c r="T143">
        <v>1</v>
      </c>
      <c r="U143">
        <v>1</v>
      </c>
      <c r="V143">
        <v>1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0.52796488938131625</v>
      </c>
      <c r="AE143">
        <v>3.8137878283688489E-2</v>
      </c>
      <c r="AF143">
        <f t="shared" si="4"/>
        <v>7.2235633563397563</v>
      </c>
      <c r="AG143" t="b">
        <f t="shared" si="5"/>
        <v>1</v>
      </c>
    </row>
    <row r="144" spans="1:33" x14ac:dyDescent="0.2">
      <c r="A144" s="4" t="s">
        <v>35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0.43041988497058781</v>
      </c>
      <c r="AE144">
        <v>2.6328187804412948E-3</v>
      </c>
      <c r="AF144">
        <f t="shared" si="4"/>
        <v>0.61168614006325595</v>
      </c>
      <c r="AG144" t="b">
        <f t="shared" si="5"/>
        <v>1</v>
      </c>
    </row>
    <row r="145" spans="1:33" x14ac:dyDescent="0.2">
      <c r="A145" s="4" t="s">
        <v>36</v>
      </c>
      <c r="B145">
        <v>0</v>
      </c>
      <c r="C145">
        <v>1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0.46823952256539558</v>
      </c>
      <c r="AE145">
        <v>1.8800045979499851E-2</v>
      </c>
      <c r="AF145">
        <f t="shared" si="4"/>
        <v>4.0150489383078902</v>
      </c>
      <c r="AG145" t="b">
        <f t="shared" si="5"/>
        <v>1</v>
      </c>
    </row>
    <row r="146" spans="1:33" x14ac:dyDescent="0.2">
      <c r="A146" s="4" t="s">
        <v>37</v>
      </c>
      <c r="B146">
        <v>0</v>
      </c>
      <c r="C146">
        <v>1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1</v>
      </c>
      <c r="Q146">
        <v>1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0.43575794478052438</v>
      </c>
      <c r="AE146">
        <v>1.9296294545800469E-2</v>
      </c>
      <c r="AF146">
        <f t="shared" si="4"/>
        <v>4.4282140525330682</v>
      </c>
      <c r="AG146" t="b">
        <f t="shared" si="5"/>
        <v>1</v>
      </c>
    </row>
    <row r="147" spans="1:33" x14ac:dyDescent="0.2">
      <c r="A147" s="4" t="s">
        <v>38</v>
      </c>
      <c r="B147">
        <v>0</v>
      </c>
      <c r="C147">
        <v>1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1</v>
      </c>
      <c r="J147">
        <v>1</v>
      </c>
      <c r="K147">
        <v>1</v>
      </c>
      <c r="L147">
        <v>0</v>
      </c>
      <c r="M147">
        <v>1</v>
      </c>
      <c r="N147">
        <v>0</v>
      </c>
      <c r="O147">
        <v>0</v>
      </c>
      <c r="P147">
        <v>1</v>
      </c>
      <c r="Q147">
        <v>1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0.47794791261416208</v>
      </c>
      <c r="AE147">
        <v>5.6408252427047709E-2</v>
      </c>
      <c r="AF147">
        <f t="shared" si="4"/>
        <v>11.80217570540683</v>
      </c>
      <c r="AG147" t="b">
        <f t="shared" si="5"/>
        <v>1</v>
      </c>
    </row>
    <row r="148" spans="1:33" x14ac:dyDescent="0.2">
      <c r="A148" s="4" t="s">
        <v>39</v>
      </c>
      <c r="B148">
        <v>0</v>
      </c>
      <c r="C148">
        <v>1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1</v>
      </c>
      <c r="J148">
        <v>1</v>
      </c>
      <c r="K148">
        <v>1</v>
      </c>
      <c r="L148">
        <v>0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0.49290239797995372</v>
      </c>
      <c r="AE148">
        <v>7.5193766450612504E-3</v>
      </c>
      <c r="AF148">
        <f t="shared" si="4"/>
        <v>1.5255305463876163</v>
      </c>
      <c r="AG148" t="b">
        <f t="shared" si="5"/>
        <v>1</v>
      </c>
    </row>
    <row r="149" spans="1:33" x14ac:dyDescent="0.2">
      <c r="A149" s="4" t="s">
        <v>40</v>
      </c>
      <c r="B149">
        <v>0</v>
      </c>
      <c r="C149">
        <v>1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0</v>
      </c>
      <c r="S149">
        <v>1</v>
      </c>
      <c r="T149">
        <v>1</v>
      </c>
      <c r="U149">
        <v>1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0.69596990353526222</v>
      </c>
      <c r="AE149">
        <v>1.9891376971380541E-2</v>
      </c>
      <c r="AF149">
        <f t="shared" si="4"/>
        <v>2.8580800506372355</v>
      </c>
      <c r="AG149" t="b">
        <f t="shared" si="5"/>
        <v>1</v>
      </c>
    </row>
    <row r="150" spans="1:33" x14ac:dyDescent="0.2">
      <c r="A150" s="4" t="s">
        <v>41</v>
      </c>
      <c r="B150">
        <v>0</v>
      </c>
      <c r="C150">
        <v>1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0.76194820173212918</v>
      </c>
      <c r="AE150">
        <v>1.522611404435619E-2</v>
      </c>
      <c r="AF150">
        <f t="shared" si="4"/>
        <v>1.9983135349283347</v>
      </c>
      <c r="AG150" t="b">
        <f t="shared" si="5"/>
        <v>1</v>
      </c>
    </row>
    <row r="151" spans="1:33" x14ac:dyDescent="0.2">
      <c r="A151" s="4" t="s">
        <v>42</v>
      </c>
      <c r="B151">
        <v>0</v>
      </c>
      <c r="C151">
        <v>1</v>
      </c>
      <c r="D151">
        <v>0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0.80613670725038877</v>
      </c>
      <c r="AE151">
        <v>4.3943837968590083E-2</v>
      </c>
      <c r="AF151">
        <f t="shared" si="4"/>
        <v>5.4511644952226419</v>
      </c>
      <c r="AG151" t="b">
        <f t="shared" si="5"/>
        <v>1</v>
      </c>
    </row>
    <row r="152" spans="1:33" x14ac:dyDescent="0.2">
      <c r="A152" s="4" t="s">
        <v>43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1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1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0.39488524227189042</v>
      </c>
      <c r="AE152">
        <v>3.478291588400436E-2</v>
      </c>
      <c r="AF152">
        <f t="shared" si="4"/>
        <v>8.8083605464433319</v>
      </c>
      <c r="AG152" t="b">
        <f t="shared" si="5"/>
        <v>1</v>
      </c>
    </row>
    <row r="153" spans="1:33" x14ac:dyDescent="0.2">
      <c r="A153" s="4" t="s">
        <v>44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1</v>
      </c>
      <c r="Q153">
        <v>1</v>
      </c>
      <c r="R153">
        <v>1</v>
      </c>
      <c r="S153">
        <v>0</v>
      </c>
      <c r="T153">
        <v>0</v>
      </c>
      <c r="U153">
        <v>0</v>
      </c>
      <c r="V153">
        <v>1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0.47787272865420638</v>
      </c>
      <c r="AE153">
        <v>5.7141767520572082E-2</v>
      </c>
      <c r="AF153">
        <f t="shared" si="4"/>
        <v>11.957528457733032</v>
      </c>
      <c r="AG153" t="b">
        <f t="shared" si="5"/>
        <v>1</v>
      </c>
    </row>
    <row r="154" spans="1:33" x14ac:dyDescent="0.2">
      <c r="A154" s="4" t="s">
        <v>45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0</v>
      </c>
      <c r="T154">
        <v>0</v>
      </c>
      <c r="U154">
        <v>0</v>
      </c>
      <c r="V154">
        <v>1</v>
      </c>
      <c r="W154">
        <v>1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0.42889313111913352</v>
      </c>
      <c r="AE154">
        <v>3.1540557466290318E-3</v>
      </c>
      <c r="AF154">
        <f t="shared" si="4"/>
        <v>0.73539432501494895</v>
      </c>
      <c r="AG154" t="b">
        <f t="shared" si="5"/>
        <v>1</v>
      </c>
    </row>
    <row r="155" spans="1:33" x14ac:dyDescent="0.2">
      <c r="A155" s="4" t="s">
        <v>46</v>
      </c>
      <c r="B155">
        <v>0</v>
      </c>
      <c r="C155">
        <v>1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0</v>
      </c>
      <c r="U155">
        <v>0</v>
      </c>
      <c r="V155">
        <v>1</v>
      </c>
      <c r="W155">
        <v>1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0.48335156998363271</v>
      </c>
      <c r="AE155">
        <v>1.0652216763059301E-2</v>
      </c>
      <c r="AF155">
        <f t="shared" si="4"/>
        <v>2.2038237640192224</v>
      </c>
      <c r="AG155" t="b">
        <f t="shared" si="5"/>
        <v>1</v>
      </c>
    </row>
    <row r="156" spans="1:33" x14ac:dyDescent="0.2">
      <c r="A156" s="4" t="s">
        <v>47</v>
      </c>
      <c r="B156">
        <v>0</v>
      </c>
      <c r="C156">
        <v>1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1</v>
      </c>
      <c r="J156">
        <v>1</v>
      </c>
      <c r="K156">
        <v>1</v>
      </c>
      <c r="L156">
        <v>0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0</v>
      </c>
      <c r="U156">
        <v>0</v>
      </c>
      <c r="V156">
        <v>1</v>
      </c>
      <c r="W156">
        <v>1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0.52302924778985693</v>
      </c>
      <c r="AE156">
        <v>3.2886241146487961E-3</v>
      </c>
      <c r="AF156">
        <f t="shared" si="4"/>
        <v>0.62876485943097804</v>
      </c>
      <c r="AG156" t="b">
        <f t="shared" si="5"/>
        <v>1</v>
      </c>
    </row>
    <row r="157" spans="1:33" x14ac:dyDescent="0.2">
      <c r="A157" s="4" t="s">
        <v>48</v>
      </c>
      <c r="B157">
        <v>0</v>
      </c>
      <c r="C157">
        <v>1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0.73676755168148933</v>
      </c>
      <c r="AE157">
        <v>1.1156624575950279E-2</v>
      </c>
      <c r="AF157">
        <f t="shared" si="4"/>
        <v>1.5142665485861924</v>
      </c>
      <c r="AG157" t="b">
        <f t="shared" si="5"/>
        <v>1</v>
      </c>
    </row>
    <row r="158" spans="1:33" x14ac:dyDescent="0.2">
      <c r="A158" s="4" t="s">
        <v>49</v>
      </c>
      <c r="B158">
        <v>0</v>
      </c>
      <c r="C158">
        <v>1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1</v>
      </c>
      <c r="J158">
        <v>1</v>
      </c>
      <c r="K158">
        <v>1</v>
      </c>
      <c r="L158">
        <v>0</v>
      </c>
      <c r="M158">
        <v>1</v>
      </c>
      <c r="N158">
        <v>0</v>
      </c>
      <c r="O158">
        <v>0</v>
      </c>
      <c r="P158">
        <v>1</v>
      </c>
      <c r="Q158">
        <v>1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0.57667143084760197</v>
      </c>
      <c r="AE158">
        <v>2.7955393491889912E-3</v>
      </c>
      <c r="AF158">
        <f t="shared" si="4"/>
        <v>0.48477160470392255</v>
      </c>
      <c r="AG158" t="b">
        <f t="shared" si="5"/>
        <v>1</v>
      </c>
    </row>
    <row r="159" spans="1:33" x14ac:dyDescent="0.2">
      <c r="A159" s="4" t="s">
        <v>50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0</v>
      </c>
      <c r="T159">
        <v>0</v>
      </c>
      <c r="U159">
        <v>0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0.42899180896383587</v>
      </c>
      <c r="AE159">
        <v>1.434613613419675E-2</v>
      </c>
      <c r="AF159">
        <f t="shared" si="4"/>
        <v>3.344151527938878</v>
      </c>
      <c r="AG159" t="b">
        <f t="shared" si="5"/>
        <v>1</v>
      </c>
    </row>
    <row r="160" spans="1:33" x14ac:dyDescent="0.2">
      <c r="A160" s="4" t="s">
        <v>51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0.44601601213380843</v>
      </c>
      <c r="AE160">
        <v>4.7617102736222383E-3</v>
      </c>
      <c r="AF160">
        <f t="shared" si="4"/>
        <v>1.0676097144677592</v>
      </c>
      <c r="AG160" t="b">
        <f t="shared" si="5"/>
        <v>1</v>
      </c>
    </row>
    <row r="161" spans="1:33" x14ac:dyDescent="0.2">
      <c r="A161" s="4" t="s">
        <v>52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1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1</v>
      </c>
      <c r="W161">
        <v>1</v>
      </c>
      <c r="X161">
        <v>0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0.37553846609882519</v>
      </c>
      <c r="AE161">
        <v>1.00292724225162E-2</v>
      </c>
      <c r="AF161">
        <f t="shared" si="4"/>
        <v>2.670637851483618</v>
      </c>
      <c r="AG161" t="b">
        <f t="shared" si="5"/>
        <v>1</v>
      </c>
    </row>
    <row r="162" spans="1:33" x14ac:dyDescent="0.2">
      <c r="A162" s="4" t="s">
        <v>53</v>
      </c>
      <c r="B162">
        <v>0</v>
      </c>
      <c r="C162">
        <v>1</v>
      </c>
      <c r="D162">
        <v>0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0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0</v>
      </c>
      <c r="U162">
        <v>0</v>
      </c>
      <c r="V162">
        <v>1</v>
      </c>
      <c r="W162">
        <v>1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0.47530620592091338</v>
      </c>
      <c r="AE162">
        <v>2.2046224452333439E-3</v>
      </c>
      <c r="AF162">
        <f t="shared" si="4"/>
        <v>0.46383203454325889</v>
      </c>
      <c r="AG162" t="b">
        <f t="shared" si="5"/>
        <v>1</v>
      </c>
    </row>
    <row r="163" spans="1:33" x14ac:dyDescent="0.2">
      <c r="A163" s="4" t="s">
        <v>54</v>
      </c>
      <c r="B163">
        <v>0</v>
      </c>
      <c r="C163">
        <v>1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1</v>
      </c>
      <c r="M163">
        <v>0</v>
      </c>
      <c r="N163">
        <v>1</v>
      </c>
      <c r="O163">
        <v>1</v>
      </c>
      <c r="P163">
        <v>0</v>
      </c>
      <c r="Q163">
        <v>1</v>
      </c>
      <c r="R163">
        <v>0</v>
      </c>
      <c r="S163">
        <v>1</v>
      </c>
      <c r="T163">
        <v>1</v>
      </c>
      <c r="U163">
        <v>1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0.59985820636935139</v>
      </c>
      <c r="AE163">
        <v>1.0959715520701369E-2</v>
      </c>
      <c r="AF163">
        <f t="shared" si="4"/>
        <v>1.8270510271144196</v>
      </c>
      <c r="AG163" t="b">
        <f t="shared" si="5"/>
        <v>1</v>
      </c>
    </row>
    <row r="164" spans="1:33" x14ac:dyDescent="0.2">
      <c r="A164" s="4" t="s">
        <v>55</v>
      </c>
      <c r="B164">
        <v>0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0</v>
      </c>
      <c r="O164">
        <v>0</v>
      </c>
      <c r="P164">
        <v>1</v>
      </c>
      <c r="Q164">
        <v>1</v>
      </c>
      <c r="R164">
        <v>1</v>
      </c>
      <c r="S164">
        <v>0</v>
      </c>
      <c r="T164">
        <v>1</v>
      </c>
      <c r="U164">
        <v>1</v>
      </c>
      <c r="V164">
        <v>1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0.53848705119736462</v>
      </c>
      <c r="AE164">
        <v>5.201109430586915E-2</v>
      </c>
      <c r="AF164">
        <f t="shared" si="4"/>
        <v>9.6587455891871024</v>
      </c>
      <c r="AG164" t="b">
        <f t="shared" si="5"/>
        <v>1</v>
      </c>
    </row>
    <row r="165" spans="1:33" x14ac:dyDescent="0.2">
      <c r="A165" s="4" t="s">
        <v>56</v>
      </c>
      <c r="B165">
        <v>0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0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0.63273350202314915</v>
      </c>
      <c r="AE165">
        <v>1.596238906689508E-2</v>
      </c>
      <c r="AF165">
        <f t="shared" si="4"/>
        <v>2.5227665384961835</v>
      </c>
      <c r="AG165" t="b">
        <f t="shared" si="5"/>
        <v>1</v>
      </c>
    </row>
    <row r="166" spans="1:33" x14ac:dyDescent="0.2">
      <c r="A166" s="4" t="s">
        <v>57</v>
      </c>
      <c r="B166">
        <v>0</v>
      </c>
      <c r="C166">
        <v>1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0.75080428815478173</v>
      </c>
      <c r="AE166">
        <v>5.4052229013784444E-3</v>
      </c>
      <c r="AF166">
        <f t="shared" si="4"/>
        <v>0.71992435134629029</v>
      </c>
      <c r="AG166" t="b">
        <f t="shared" si="5"/>
        <v>1</v>
      </c>
    </row>
    <row r="167" spans="1:33" x14ac:dyDescent="0.2">
      <c r="A167" s="4" t="s">
        <v>58</v>
      </c>
      <c r="B167">
        <v>0</v>
      </c>
      <c r="C167">
        <v>1</v>
      </c>
      <c r="D167">
        <v>0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0.79491380598859995</v>
      </c>
      <c r="AE167">
        <v>3.091693208245826E-2</v>
      </c>
      <c r="AF167">
        <f t="shared" si="4"/>
        <v>3.8893439577399476</v>
      </c>
      <c r="AG167" t="b">
        <f t="shared" si="5"/>
        <v>1</v>
      </c>
    </row>
    <row r="168" spans="1:33" x14ac:dyDescent="0.2">
      <c r="A168" s="4" t="s">
        <v>59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0</v>
      </c>
      <c r="O168">
        <v>0</v>
      </c>
      <c r="P168">
        <v>1</v>
      </c>
      <c r="Q168">
        <v>1</v>
      </c>
      <c r="R168">
        <v>1</v>
      </c>
      <c r="S168">
        <v>0</v>
      </c>
      <c r="T168">
        <v>1</v>
      </c>
      <c r="U168">
        <v>1</v>
      </c>
      <c r="V168">
        <v>1</v>
      </c>
      <c r="W168">
        <v>1</v>
      </c>
      <c r="X168">
        <v>0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0.64428759110124734</v>
      </c>
      <c r="AE168">
        <v>2.9600093819201059E-2</v>
      </c>
      <c r="AF168">
        <f t="shared" si="4"/>
        <v>4.5942362119076599</v>
      </c>
      <c r="AG168" t="b">
        <f t="shared" si="5"/>
        <v>1</v>
      </c>
    </row>
    <row r="169" spans="1:33" x14ac:dyDescent="0.2">
      <c r="A169" s="4" t="s">
        <v>60</v>
      </c>
      <c r="B169">
        <v>0</v>
      </c>
      <c r="C169">
        <v>1</v>
      </c>
      <c r="D169">
        <v>0</v>
      </c>
      <c r="E169">
        <v>1</v>
      </c>
      <c r="F169">
        <v>0</v>
      </c>
      <c r="G169">
        <v>1</v>
      </c>
      <c r="H169">
        <v>1</v>
      </c>
      <c r="I169">
        <v>0</v>
      </c>
      <c r="J169">
        <v>1</v>
      </c>
      <c r="K169">
        <v>1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0.48731197405748539</v>
      </c>
      <c r="AE169">
        <v>2.920423739882981E-2</v>
      </c>
      <c r="AF169">
        <f t="shared" si="4"/>
        <v>5.9929242361249173</v>
      </c>
      <c r="AG169" t="b">
        <f t="shared" si="5"/>
        <v>1</v>
      </c>
    </row>
    <row r="170" spans="1:33" x14ac:dyDescent="0.2">
      <c r="A170" s="4" t="s">
        <v>61</v>
      </c>
      <c r="B170">
        <v>0</v>
      </c>
      <c r="C170">
        <v>1</v>
      </c>
      <c r="D170">
        <v>0</v>
      </c>
      <c r="E170">
        <v>1</v>
      </c>
      <c r="F170">
        <v>0</v>
      </c>
      <c r="G170">
        <v>1</v>
      </c>
      <c r="H170">
        <v>1</v>
      </c>
      <c r="I170">
        <v>0</v>
      </c>
      <c r="J170">
        <v>1</v>
      </c>
      <c r="K170">
        <v>1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1</v>
      </c>
      <c r="U170">
        <v>1</v>
      </c>
      <c r="V170">
        <v>1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0.56472245649796715</v>
      </c>
      <c r="AE170">
        <v>4.8408258169396867E-2</v>
      </c>
      <c r="AF170">
        <f t="shared" si="4"/>
        <v>8.5720441275866133</v>
      </c>
      <c r="AG170" t="b">
        <f t="shared" si="5"/>
        <v>1</v>
      </c>
    </row>
    <row r="171" spans="1:33" x14ac:dyDescent="0.2">
      <c r="A171" s="4" t="s">
        <v>62</v>
      </c>
      <c r="B171">
        <v>0</v>
      </c>
      <c r="C171">
        <v>1</v>
      </c>
      <c r="D171">
        <v>0</v>
      </c>
      <c r="E171">
        <v>1</v>
      </c>
      <c r="F171">
        <v>0</v>
      </c>
      <c r="G171">
        <v>1</v>
      </c>
      <c r="H171">
        <v>1</v>
      </c>
      <c r="I171">
        <v>0</v>
      </c>
      <c r="J171">
        <v>1</v>
      </c>
      <c r="K171">
        <v>1</v>
      </c>
      <c r="L171">
        <v>1</v>
      </c>
      <c r="M171">
        <v>1</v>
      </c>
      <c r="N171">
        <v>0</v>
      </c>
      <c r="O171">
        <v>0</v>
      </c>
      <c r="P171">
        <v>1</v>
      </c>
      <c r="Q171">
        <v>0</v>
      </c>
      <c r="R171">
        <v>1</v>
      </c>
      <c r="S171">
        <v>0</v>
      </c>
      <c r="T171">
        <v>1</v>
      </c>
      <c r="U171">
        <v>1</v>
      </c>
      <c r="V171">
        <v>1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0.58678303441002366</v>
      </c>
      <c r="AE171">
        <v>3.0703944482479682E-2</v>
      </c>
      <c r="AF171">
        <f t="shared" si="4"/>
        <v>5.2325889949000866</v>
      </c>
      <c r="AG171" t="b">
        <f t="shared" si="5"/>
        <v>1</v>
      </c>
    </row>
    <row r="172" spans="1:33" x14ac:dyDescent="0.2">
      <c r="A172" s="4" t="s">
        <v>63</v>
      </c>
      <c r="B172">
        <v>0</v>
      </c>
      <c r="C172">
        <v>1</v>
      </c>
      <c r="D172">
        <v>0</v>
      </c>
      <c r="E172">
        <v>1</v>
      </c>
      <c r="F172">
        <v>0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0</v>
      </c>
      <c r="O172">
        <v>0</v>
      </c>
      <c r="P172">
        <v>1</v>
      </c>
      <c r="Q172">
        <v>1</v>
      </c>
      <c r="R172">
        <v>1</v>
      </c>
      <c r="S172">
        <v>0</v>
      </c>
      <c r="T172">
        <v>1</v>
      </c>
      <c r="U172">
        <v>1</v>
      </c>
      <c r="V172">
        <v>1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0.50431290507504811</v>
      </c>
      <c r="AE172">
        <v>4.2843730899831567E-2</v>
      </c>
      <c r="AF172">
        <f t="shared" si="4"/>
        <v>8.4954659039422911</v>
      </c>
      <c r="AG172" t="b">
        <f t="shared" si="5"/>
        <v>1</v>
      </c>
    </row>
    <row r="173" spans="1:33" x14ac:dyDescent="0.2">
      <c r="A173" s="4" t="s">
        <v>64</v>
      </c>
      <c r="B173">
        <v>0</v>
      </c>
      <c r="C173">
        <v>1</v>
      </c>
      <c r="D173">
        <v>0</v>
      </c>
      <c r="E173">
        <v>1</v>
      </c>
      <c r="F173">
        <v>0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0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0.70395331046938281</v>
      </c>
      <c r="AE173">
        <v>2.195615167210585E-2</v>
      </c>
      <c r="AF173">
        <f t="shared" si="4"/>
        <v>3.1189783960907724</v>
      </c>
      <c r="AG173" t="b">
        <f t="shared" si="5"/>
        <v>1</v>
      </c>
    </row>
    <row r="174" spans="1:33" x14ac:dyDescent="0.2">
      <c r="A174" s="4" t="s">
        <v>66</v>
      </c>
      <c r="B174">
        <v>0</v>
      </c>
      <c r="C174">
        <v>1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1</v>
      </c>
      <c r="K174">
        <v>1</v>
      </c>
      <c r="L174">
        <v>1</v>
      </c>
      <c r="M174">
        <v>0</v>
      </c>
      <c r="N174">
        <v>1</v>
      </c>
      <c r="O174">
        <v>1</v>
      </c>
      <c r="P174">
        <v>0</v>
      </c>
      <c r="Q174">
        <v>0</v>
      </c>
      <c r="R174">
        <v>0</v>
      </c>
      <c r="S174">
        <v>1</v>
      </c>
      <c r="T174">
        <v>1</v>
      </c>
      <c r="U174">
        <v>1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0.63260583408146709</v>
      </c>
      <c r="AE174">
        <v>1.2068605580688729E-2</v>
      </c>
      <c r="AF174">
        <f t="shared" si="4"/>
        <v>1.9077607145707309</v>
      </c>
      <c r="AG174" t="b">
        <f t="shared" si="5"/>
        <v>1</v>
      </c>
    </row>
    <row r="175" spans="1:33" x14ac:dyDescent="0.2">
      <c r="A175" s="4" t="s">
        <v>67</v>
      </c>
      <c r="B175">
        <v>0</v>
      </c>
      <c r="C175">
        <v>1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1</v>
      </c>
      <c r="K175">
        <v>1</v>
      </c>
      <c r="L175">
        <v>1</v>
      </c>
      <c r="M175">
        <v>0</v>
      </c>
      <c r="N175">
        <v>1</v>
      </c>
      <c r="O175">
        <v>1</v>
      </c>
      <c r="P175">
        <v>0</v>
      </c>
      <c r="Q175">
        <v>0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0.71244685290575671</v>
      </c>
      <c r="AE175">
        <v>6.8565330153830539E-2</v>
      </c>
      <c r="AF175">
        <f t="shared" si="4"/>
        <v>9.6239221036885461</v>
      </c>
      <c r="AG175" t="b">
        <f t="shared" si="5"/>
        <v>1</v>
      </c>
    </row>
    <row r="176" spans="1:33" x14ac:dyDescent="0.2">
      <c r="A176" s="4" t="s">
        <v>68</v>
      </c>
      <c r="B176">
        <v>0</v>
      </c>
      <c r="C176">
        <v>1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0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0.61516241216400336</v>
      </c>
      <c r="AE176">
        <v>1.9711639632541501E-2</v>
      </c>
      <c r="AF176">
        <f t="shared" si="4"/>
        <v>3.2042984491201887</v>
      </c>
      <c r="AG176" t="b">
        <f t="shared" si="5"/>
        <v>1</v>
      </c>
    </row>
    <row r="177" spans="1:33" x14ac:dyDescent="0.2">
      <c r="A177" s="4" t="s">
        <v>69</v>
      </c>
      <c r="B177">
        <v>0</v>
      </c>
      <c r="C177">
        <v>1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1</v>
      </c>
      <c r="K177">
        <v>1</v>
      </c>
      <c r="L177">
        <v>1</v>
      </c>
      <c r="M177">
        <v>0</v>
      </c>
      <c r="N177">
        <v>1</v>
      </c>
      <c r="O177">
        <v>1</v>
      </c>
      <c r="P177">
        <v>0</v>
      </c>
      <c r="Q177">
        <v>0</v>
      </c>
      <c r="R177">
        <v>0</v>
      </c>
      <c r="S177">
        <v>1</v>
      </c>
      <c r="T177">
        <v>1</v>
      </c>
      <c r="U177">
        <v>1</v>
      </c>
      <c r="V177">
        <v>0</v>
      </c>
      <c r="W177">
        <v>0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0.62418955267529463</v>
      </c>
      <c r="AE177">
        <v>1.5042595441486161E-2</v>
      </c>
      <c r="AF177">
        <f t="shared" si="4"/>
        <v>2.4099402780794965</v>
      </c>
      <c r="AG177" t="b">
        <f t="shared" si="5"/>
        <v>1</v>
      </c>
    </row>
    <row r="178" spans="1:33" x14ac:dyDescent="0.2">
      <c r="A178" s="4" t="s">
        <v>70</v>
      </c>
      <c r="B178">
        <v>0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0</v>
      </c>
      <c r="O178">
        <v>0</v>
      </c>
      <c r="P178">
        <v>1</v>
      </c>
      <c r="Q178">
        <v>1</v>
      </c>
      <c r="R178">
        <v>0</v>
      </c>
      <c r="S178">
        <v>0</v>
      </c>
      <c r="T178">
        <v>1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0.45608775540731228</v>
      </c>
      <c r="AE178">
        <v>2.280717791957405E-2</v>
      </c>
      <c r="AF178">
        <f t="shared" si="4"/>
        <v>5.0006117570961637</v>
      </c>
      <c r="AG178" t="b">
        <f t="shared" si="5"/>
        <v>1</v>
      </c>
    </row>
    <row r="179" spans="1:33" x14ac:dyDescent="0.2">
      <c r="A179" s="4" t="s">
        <v>71</v>
      </c>
      <c r="B179">
        <v>0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1</v>
      </c>
      <c r="K179">
        <v>1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1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0.50523394851192993</v>
      </c>
      <c r="AE179">
        <v>6.3001400870721355E-2</v>
      </c>
      <c r="AF179">
        <f t="shared" si="4"/>
        <v>12.469748134756173</v>
      </c>
      <c r="AG179" t="b">
        <f t="shared" si="5"/>
        <v>1</v>
      </c>
    </row>
    <row r="180" spans="1:33" x14ac:dyDescent="0.2">
      <c r="A180" s="4" t="s">
        <v>72</v>
      </c>
      <c r="B180">
        <v>0</v>
      </c>
      <c r="C180">
        <v>1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1</v>
      </c>
      <c r="K180">
        <v>1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1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0.52156112741798444</v>
      </c>
      <c r="AE180">
        <v>1.784092842334572E-3</v>
      </c>
      <c r="AF180">
        <f t="shared" si="4"/>
        <v>0.34206783223412696</v>
      </c>
      <c r="AG180" t="b">
        <f t="shared" si="5"/>
        <v>1</v>
      </c>
    </row>
    <row r="181" spans="1:33" x14ac:dyDescent="0.2">
      <c r="A181" s="4" t="s">
        <v>73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1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0.45858395315965289</v>
      </c>
      <c r="AE181">
        <v>2.341325267664297E-2</v>
      </c>
      <c r="AF181">
        <f t="shared" si="4"/>
        <v>5.1055542862599479</v>
      </c>
      <c r="AG181" t="b">
        <f t="shared" si="5"/>
        <v>1</v>
      </c>
    </row>
    <row r="182" spans="1:33" x14ac:dyDescent="0.2">
      <c r="A182" s="4" t="s">
        <v>74</v>
      </c>
      <c r="B182">
        <v>0</v>
      </c>
      <c r="C182">
        <v>1</v>
      </c>
      <c r="D182">
        <v>0</v>
      </c>
      <c r="E182">
        <v>1</v>
      </c>
      <c r="F182">
        <v>0</v>
      </c>
      <c r="G182">
        <v>1</v>
      </c>
      <c r="H182">
        <v>1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0.49386515953610299</v>
      </c>
      <c r="AE182">
        <v>3.6606054444857259E-3</v>
      </c>
      <c r="AF182">
        <f t="shared" si="4"/>
        <v>0.74121556740795458</v>
      </c>
      <c r="AG182" t="b">
        <f t="shared" si="5"/>
        <v>1</v>
      </c>
    </row>
    <row r="183" spans="1:33" x14ac:dyDescent="0.2">
      <c r="A183" s="4" t="s">
        <v>75</v>
      </c>
      <c r="B183">
        <v>0</v>
      </c>
      <c r="C183">
        <v>1</v>
      </c>
      <c r="D183">
        <v>0</v>
      </c>
      <c r="E183">
        <v>1</v>
      </c>
      <c r="F183">
        <v>0</v>
      </c>
      <c r="G183">
        <v>1</v>
      </c>
      <c r="H183">
        <v>1</v>
      </c>
      <c r="I183">
        <v>0</v>
      </c>
      <c r="J183">
        <v>1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0.45286894161986169</v>
      </c>
      <c r="AE183">
        <v>6.9406696631654288E-3</v>
      </c>
      <c r="AF183">
        <f t="shared" si="4"/>
        <v>1.5326000582728034</v>
      </c>
      <c r="AG183" t="b">
        <f t="shared" si="5"/>
        <v>1</v>
      </c>
    </row>
    <row r="184" spans="1:33" x14ac:dyDescent="0.2">
      <c r="A184" s="4" t="s">
        <v>76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1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1</v>
      </c>
      <c r="V184">
        <v>0</v>
      </c>
      <c r="W184">
        <v>0</v>
      </c>
      <c r="X184">
        <v>0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0.55974094223797299</v>
      </c>
      <c r="AE184">
        <v>2.0826000064980432E-2</v>
      </c>
      <c r="AF184">
        <f t="shared" si="4"/>
        <v>3.7206497673215213</v>
      </c>
      <c r="AG184" t="b">
        <f t="shared" si="5"/>
        <v>1</v>
      </c>
    </row>
    <row r="185" spans="1:33" x14ac:dyDescent="0.2">
      <c r="A185" s="4" t="s">
        <v>77</v>
      </c>
      <c r="B185">
        <v>0</v>
      </c>
      <c r="C185">
        <v>1</v>
      </c>
      <c r="D185">
        <v>0</v>
      </c>
      <c r="E185">
        <v>1</v>
      </c>
      <c r="F185">
        <v>0</v>
      </c>
      <c r="G185">
        <v>1</v>
      </c>
      <c r="H185">
        <v>1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1</v>
      </c>
      <c r="V185">
        <v>0</v>
      </c>
      <c r="W185">
        <v>0</v>
      </c>
      <c r="X185">
        <v>0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0.47451338209236887</v>
      </c>
      <c r="AE185">
        <v>4.7540289840916371E-2</v>
      </c>
      <c r="AF185">
        <f t="shared" si="4"/>
        <v>10.018745863665057</v>
      </c>
      <c r="AG185" t="b">
        <f t="shared" si="5"/>
        <v>1</v>
      </c>
    </row>
    <row r="186" spans="1:33" x14ac:dyDescent="0.2">
      <c r="A186" s="4" t="s">
        <v>78</v>
      </c>
      <c r="B186">
        <v>0</v>
      </c>
      <c r="C186">
        <v>1</v>
      </c>
      <c r="D186">
        <v>0</v>
      </c>
      <c r="E186">
        <v>1</v>
      </c>
      <c r="F186">
        <v>0</v>
      </c>
      <c r="G186">
        <v>1</v>
      </c>
      <c r="H186">
        <v>1</v>
      </c>
      <c r="I186">
        <v>0</v>
      </c>
      <c r="J186">
        <v>1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0.41648088222923768</v>
      </c>
      <c r="AE186">
        <v>1.9356047120482351E-2</v>
      </c>
      <c r="AF186">
        <f t="shared" si="4"/>
        <v>4.6475235590354123</v>
      </c>
      <c r="AG186" t="b">
        <f t="shared" si="5"/>
        <v>1</v>
      </c>
    </row>
    <row r="187" spans="1:33" x14ac:dyDescent="0.2">
      <c r="A187" s="4" t="s">
        <v>79</v>
      </c>
      <c r="B187">
        <v>0</v>
      </c>
      <c r="C187">
        <v>1</v>
      </c>
      <c r="D187">
        <v>0</v>
      </c>
      <c r="E187">
        <v>1</v>
      </c>
      <c r="F187">
        <v>0</v>
      </c>
      <c r="G187">
        <v>1</v>
      </c>
      <c r="H187">
        <v>1</v>
      </c>
      <c r="I187">
        <v>0</v>
      </c>
      <c r="J187">
        <v>0</v>
      </c>
      <c r="K187">
        <v>0</v>
      </c>
      <c r="L187">
        <v>1</v>
      </c>
      <c r="M187">
        <v>1</v>
      </c>
      <c r="N187">
        <v>0</v>
      </c>
      <c r="O187">
        <v>0</v>
      </c>
      <c r="P187">
        <v>1</v>
      </c>
      <c r="Q187">
        <v>0</v>
      </c>
      <c r="R187">
        <v>1</v>
      </c>
      <c r="S187">
        <v>0</v>
      </c>
      <c r="T187">
        <v>1</v>
      </c>
      <c r="U187">
        <v>1</v>
      </c>
      <c r="V187">
        <v>1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0.49444661565086462</v>
      </c>
      <c r="AE187">
        <v>5.4006589267368198E-2</v>
      </c>
      <c r="AF187">
        <f t="shared" si="4"/>
        <v>10.922633011913055</v>
      </c>
      <c r="AG187" t="b">
        <f t="shared" si="5"/>
        <v>1</v>
      </c>
    </row>
    <row r="188" spans="1:33" x14ac:dyDescent="0.2">
      <c r="A188" s="4" t="s">
        <v>80</v>
      </c>
      <c r="B188">
        <v>0</v>
      </c>
      <c r="C188">
        <v>1</v>
      </c>
      <c r="D188">
        <v>0</v>
      </c>
      <c r="E188">
        <v>1</v>
      </c>
      <c r="F188">
        <v>0</v>
      </c>
      <c r="G188">
        <v>1</v>
      </c>
      <c r="H188">
        <v>1</v>
      </c>
      <c r="I188">
        <v>1</v>
      </c>
      <c r="J188">
        <v>0</v>
      </c>
      <c r="K188">
        <v>0</v>
      </c>
      <c r="L188">
        <v>1</v>
      </c>
      <c r="M188">
        <v>1</v>
      </c>
      <c r="N188">
        <v>0</v>
      </c>
      <c r="O188">
        <v>0</v>
      </c>
      <c r="P188">
        <v>1</v>
      </c>
      <c r="Q188">
        <v>1</v>
      </c>
      <c r="R188">
        <v>1</v>
      </c>
      <c r="S188">
        <v>0</v>
      </c>
      <c r="T188">
        <v>1</v>
      </c>
      <c r="U188">
        <v>1</v>
      </c>
      <c r="V188">
        <v>1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0.42128492299181097</v>
      </c>
      <c r="AE188">
        <v>1.027008251534612E-2</v>
      </c>
      <c r="AF188">
        <f t="shared" si="4"/>
        <v>2.4377996825549229</v>
      </c>
      <c r="AG188" t="b">
        <f t="shared" si="5"/>
        <v>1</v>
      </c>
    </row>
    <row r="189" spans="1:33" x14ac:dyDescent="0.2">
      <c r="A189" s="4" t="s">
        <v>81</v>
      </c>
      <c r="B189">
        <v>0</v>
      </c>
      <c r="C189">
        <v>1</v>
      </c>
      <c r="D189">
        <v>0</v>
      </c>
      <c r="E189">
        <v>1</v>
      </c>
      <c r="F189">
        <v>1</v>
      </c>
      <c r="G189">
        <v>1</v>
      </c>
      <c r="H189">
        <v>1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1</v>
      </c>
      <c r="O189">
        <v>1</v>
      </c>
      <c r="P189">
        <v>0</v>
      </c>
      <c r="Q189">
        <v>0</v>
      </c>
      <c r="R189">
        <v>0</v>
      </c>
      <c r="S189">
        <v>1</v>
      </c>
      <c r="T189">
        <v>1</v>
      </c>
      <c r="U189">
        <v>1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0.73352299591924186</v>
      </c>
      <c r="AE189">
        <v>3.0725218456701429E-2</v>
      </c>
      <c r="AF189">
        <f t="shared" si="4"/>
        <v>4.1887191850334515</v>
      </c>
      <c r="AG189" t="b">
        <f t="shared" si="5"/>
        <v>1</v>
      </c>
    </row>
    <row r="190" spans="1:33" x14ac:dyDescent="0.2">
      <c r="A190" s="4" t="s">
        <v>82</v>
      </c>
      <c r="B190">
        <v>0</v>
      </c>
      <c r="C190">
        <v>1</v>
      </c>
      <c r="D190">
        <v>0</v>
      </c>
      <c r="E190">
        <v>1</v>
      </c>
      <c r="F190">
        <v>0</v>
      </c>
      <c r="G190">
        <v>1</v>
      </c>
      <c r="H190">
        <v>1</v>
      </c>
      <c r="I190">
        <v>0</v>
      </c>
      <c r="J190">
        <v>1</v>
      </c>
      <c r="K190">
        <v>1</v>
      </c>
      <c r="L190">
        <v>0</v>
      </c>
      <c r="M190">
        <v>1</v>
      </c>
      <c r="N190">
        <v>0</v>
      </c>
      <c r="O190">
        <v>0</v>
      </c>
      <c r="P190">
        <v>1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1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0.43274234568308723</v>
      </c>
      <c r="AE190">
        <v>2.5577205187964681E-2</v>
      </c>
      <c r="AF190">
        <f t="shared" si="4"/>
        <v>5.9104928008815181</v>
      </c>
      <c r="AG190" t="b">
        <f t="shared" si="5"/>
        <v>1</v>
      </c>
    </row>
    <row r="191" spans="1:33" x14ac:dyDescent="0.2">
      <c r="A191" s="4" t="s">
        <v>83</v>
      </c>
      <c r="B191">
        <v>0</v>
      </c>
      <c r="C191">
        <v>1</v>
      </c>
      <c r="D191">
        <v>0</v>
      </c>
      <c r="E191">
        <v>1</v>
      </c>
      <c r="F191">
        <v>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0</v>
      </c>
      <c r="M191">
        <v>1</v>
      </c>
      <c r="N191">
        <v>0</v>
      </c>
      <c r="O191">
        <v>0</v>
      </c>
      <c r="P191">
        <v>1</v>
      </c>
      <c r="Q191">
        <v>1</v>
      </c>
      <c r="R191">
        <v>1</v>
      </c>
      <c r="S191">
        <v>0</v>
      </c>
      <c r="T191">
        <v>0</v>
      </c>
      <c r="U191">
        <v>0</v>
      </c>
      <c r="V191">
        <v>1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0.52041210263887039</v>
      </c>
      <c r="AE191">
        <v>9.4266062615136134E-3</v>
      </c>
      <c r="AF191">
        <f t="shared" si="4"/>
        <v>1.8113733738538782</v>
      </c>
      <c r="AG191" t="b">
        <f t="shared" si="5"/>
        <v>1</v>
      </c>
    </row>
    <row r="192" spans="1:33" x14ac:dyDescent="0.2">
      <c r="A192" s="4" t="s">
        <v>84</v>
      </c>
      <c r="B192">
        <v>0</v>
      </c>
      <c r="C192">
        <v>1</v>
      </c>
      <c r="D192">
        <v>0</v>
      </c>
      <c r="E192">
        <v>1</v>
      </c>
      <c r="F192">
        <v>1</v>
      </c>
      <c r="G192">
        <v>1</v>
      </c>
      <c r="H192">
        <v>1</v>
      </c>
      <c r="I192">
        <v>0</v>
      </c>
      <c r="J192">
        <v>1</v>
      </c>
      <c r="K192">
        <v>1</v>
      </c>
      <c r="L192">
        <v>0</v>
      </c>
      <c r="M192">
        <v>0</v>
      </c>
      <c r="N192">
        <v>1</v>
      </c>
      <c r="O192">
        <v>1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0.41579192278361621</v>
      </c>
      <c r="AE192">
        <v>1.0900394773784121E-2</v>
      </c>
      <c r="AF192">
        <f t="shared" si="4"/>
        <v>2.621598491093545</v>
      </c>
      <c r="AG192" t="b">
        <f t="shared" si="5"/>
        <v>1</v>
      </c>
    </row>
    <row r="193" spans="1:33" x14ac:dyDescent="0.2">
      <c r="A193" s="4">
        <v>1</v>
      </c>
      <c r="B193">
        <v>0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0.28623510114465262</v>
      </c>
      <c r="AE193">
        <v>1.983623309944647E-2</v>
      </c>
      <c r="AF193">
        <f t="shared" si="4"/>
        <v>6.9300491170095775</v>
      </c>
      <c r="AG193" t="b">
        <f t="shared" si="5"/>
        <v>1</v>
      </c>
    </row>
    <row r="194" spans="1:33" x14ac:dyDescent="0.2">
      <c r="A194" s="4">
        <v>2</v>
      </c>
      <c r="B194">
        <v>0</v>
      </c>
      <c r="C194">
        <v>0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0.71845778722101694</v>
      </c>
      <c r="AE194">
        <v>3.1474640979271183E-2</v>
      </c>
      <c r="AF194">
        <f t="shared" ref="AF194:AF257" si="6">100*AE194/AD194</f>
        <v>4.3808615536084012</v>
      </c>
      <c r="AG194" t="b">
        <f t="shared" ref="AG194:AG257" si="7">(AF194&lt;15)</f>
        <v>1</v>
      </c>
    </row>
    <row r="195" spans="1:33" x14ac:dyDescent="0.2">
      <c r="A195" s="4">
        <v>3</v>
      </c>
      <c r="B195">
        <v>0</v>
      </c>
      <c r="C195">
        <v>0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0.3182625590165406</v>
      </c>
      <c r="AE195">
        <v>1.3868866505368701E-2</v>
      </c>
      <c r="AF195">
        <f t="shared" si="6"/>
        <v>4.3576808243560663</v>
      </c>
      <c r="AG195" t="b">
        <f t="shared" si="7"/>
        <v>1</v>
      </c>
    </row>
    <row r="196" spans="1:33" x14ac:dyDescent="0.2">
      <c r="A196" s="4">
        <v>4</v>
      </c>
      <c r="B196">
        <v>0</v>
      </c>
      <c r="C196">
        <v>0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0.28667841177805509</v>
      </c>
      <c r="AE196">
        <v>1.179357393996594E-2</v>
      </c>
      <c r="AF196">
        <f t="shared" si="6"/>
        <v>4.1138688702853781</v>
      </c>
      <c r="AG196" t="b">
        <f t="shared" si="7"/>
        <v>1</v>
      </c>
    </row>
    <row r="197" spans="1:33" x14ac:dyDescent="0.2">
      <c r="A197" s="4">
        <v>5</v>
      </c>
      <c r="B197">
        <v>0</v>
      </c>
      <c r="C197">
        <v>0</v>
      </c>
      <c r="D197">
        <v>1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0.33209263258878541</v>
      </c>
      <c r="AE197">
        <v>1.71285786245855E-3</v>
      </c>
      <c r="AF197">
        <f t="shared" si="6"/>
        <v>0.51577713395993963</v>
      </c>
      <c r="AG197" t="b">
        <f t="shared" si="7"/>
        <v>1</v>
      </c>
    </row>
    <row r="198" spans="1:33" x14ac:dyDescent="0.2">
      <c r="A198" s="4">
        <v>6</v>
      </c>
      <c r="B198">
        <v>0</v>
      </c>
      <c r="C198">
        <v>0</v>
      </c>
      <c r="D198">
        <v>1</v>
      </c>
      <c r="E198">
        <v>0</v>
      </c>
      <c r="F198">
        <v>1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1</v>
      </c>
      <c r="Q198">
        <v>1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0.39679389165143092</v>
      </c>
      <c r="AE198">
        <v>3.6785429418595042E-2</v>
      </c>
      <c r="AF198">
        <f t="shared" si="6"/>
        <v>9.2706642396878713</v>
      </c>
      <c r="AG198" t="b">
        <f t="shared" si="7"/>
        <v>1</v>
      </c>
    </row>
    <row r="199" spans="1:33" x14ac:dyDescent="0.2">
      <c r="A199" s="4">
        <v>7</v>
      </c>
      <c r="B199">
        <v>0</v>
      </c>
      <c r="C199">
        <v>0</v>
      </c>
      <c r="D199">
        <v>1</v>
      </c>
      <c r="E199">
        <v>0</v>
      </c>
      <c r="F199">
        <v>1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0.35756349943901322</v>
      </c>
      <c r="AE199">
        <v>2.174052856136708E-2</v>
      </c>
      <c r="AF199">
        <f t="shared" si="6"/>
        <v>6.0801867627641304</v>
      </c>
      <c r="AG199" t="b">
        <f t="shared" si="7"/>
        <v>1</v>
      </c>
    </row>
    <row r="200" spans="1:33" x14ac:dyDescent="0.2">
      <c r="A200" s="4">
        <v>8</v>
      </c>
      <c r="B200">
        <v>0</v>
      </c>
      <c r="C200">
        <v>0</v>
      </c>
      <c r="D200">
        <v>1</v>
      </c>
      <c r="E200">
        <v>0</v>
      </c>
      <c r="F200">
        <v>1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0</v>
      </c>
      <c r="U200">
        <v>0</v>
      </c>
      <c r="V200">
        <v>1</v>
      </c>
      <c r="W200">
        <v>1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0.35896258014389981</v>
      </c>
      <c r="AE200">
        <v>2.6975937400583992E-2</v>
      </c>
      <c r="AF200">
        <f t="shared" si="6"/>
        <v>7.5149720034244138</v>
      </c>
      <c r="AG200" t="b">
        <f t="shared" si="7"/>
        <v>1</v>
      </c>
    </row>
    <row r="201" spans="1:33" x14ac:dyDescent="0.2">
      <c r="A201" s="4">
        <v>9</v>
      </c>
      <c r="B201">
        <v>0</v>
      </c>
      <c r="C201">
        <v>0</v>
      </c>
      <c r="D201">
        <v>1</v>
      </c>
      <c r="E201">
        <v>0</v>
      </c>
      <c r="F201">
        <v>1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0.61304801318772928</v>
      </c>
      <c r="AE201">
        <v>1.818278693797035E-2</v>
      </c>
      <c r="AF201">
        <f t="shared" si="6"/>
        <v>2.965964581374863</v>
      </c>
      <c r="AG201" t="b">
        <f t="shared" si="7"/>
        <v>1</v>
      </c>
    </row>
    <row r="202" spans="1:33" x14ac:dyDescent="0.2">
      <c r="A202" s="4">
        <v>10</v>
      </c>
      <c r="B202">
        <v>0</v>
      </c>
      <c r="C202">
        <v>0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0.73379725435226306</v>
      </c>
      <c r="AE202">
        <v>3.2569081987530182E-2</v>
      </c>
      <c r="AF202">
        <f t="shared" si="6"/>
        <v>4.4384306147724057</v>
      </c>
      <c r="AG202" t="b">
        <f t="shared" si="7"/>
        <v>1</v>
      </c>
    </row>
    <row r="203" spans="1:33" x14ac:dyDescent="0.2">
      <c r="A203" s="4">
        <v>11</v>
      </c>
      <c r="B203">
        <v>0</v>
      </c>
      <c r="C203">
        <v>0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0</v>
      </c>
      <c r="AB203">
        <v>0</v>
      </c>
      <c r="AC203">
        <v>0</v>
      </c>
      <c r="AD203">
        <v>0.55931980404332848</v>
      </c>
      <c r="AE203">
        <v>2.900922766400655E-2</v>
      </c>
      <c r="AF203">
        <f t="shared" si="6"/>
        <v>5.1865189564715122</v>
      </c>
      <c r="AG203" t="b">
        <f t="shared" si="7"/>
        <v>1</v>
      </c>
    </row>
    <row r="204" spans="1:33" x14ac:dyDescent="0.2">
      <c r="A204" s="4">
        <v>12</v>
      </c>
      <c r="B204">
        <v>0</v>
      </c>
      <c r="C204">
        <v>0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0</v>
      </c>
      <c r="Z204">
        <v>0</v>
      </c>
      <c r="AA204">
        <v>1</v>
      </c>
      <c r="AB204">
        <v>1</v>
      </c>
      <c r="AC204">
        <v>1</v>
      </c>
      <c r="AD204">
        <v>0.81113217303733587</v>
      </c>
      <c r="AE204">
        <v>5.9655336236663907E-2</v>
      </c>
      <c r="AF204">
        <f t="shared" si="6"/>
        <v>7.3545765067215507</v>
      </c>
      <c r="AG204" t="b">
        <f t="shared" si="7"/>
        <v>1</v>
      </c>
    </row>
    <row r="205" spans="1:33" x14ac:dyDescent="0.2">
      <c r="A205" s="4">
        <v>13</v>
      </c>
      <c r="B205">
        <v>0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</v>
      </c>
      <c r="Z205">
        <v>1</v>
      </c>
      <c r="AA205">
        <v>0</v>
      </c>
      <c r="AB205">
        <v>0</v>
      </c>
      <c r="AC205">
        <v>0</v>
      </c>
      <c r="AD205">
        <v>0.2669533307775741</v>
      </c>
      <c r="AE205">
        <v>3.9033567499420621E-2</v>
      </c>
      <c r="AF205">
        <f t="shared" si="6"/>
        <v>14.621869442769173</v>
      </c>
      <c r="AG205" t="b">
        <f t="shared" si="7"/>
        <v>1</v>
      </c>
    </row>
    <row r="206" spans="1:33" x14ac:dyDescent="0.2">
      <c r="A206" s="4">
        <v>14</v>
      </c>
      <c r="B206">
        <v>0</v>
      </c>
      <c r="C206">
        <v>0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1</v>
      </c>
      <c r="AC206">
        <v>1</v>
      </c>
      <c r="AD206">
        <v>0.30462350202400651</v>
      </c>
      <c r="AE206">
        <v>1.8752373116772272E-2</v>
      </c>
      <c r="AF206">
        <f t="shared" si="6"/>
        <v>6.1559180405241518</v>
      </c>
      <c r="AG206" t="b">
        <f t="shared" si="7"/>
        <v>1</v>
      </c>
    </row>
    <row r="207" spans="1:33" x14ac:dyDescent="0.2">
      <c r="A207" s="4">
        <v>16</v>
      </c>
      <c r="B207">
        <v>0</v>
      </c>
      <c r="C207">
        <v>0</v>
      </c>
      <c r="D207">
        <v>1</v>
      </c>
      <c r="E207">
        <v>1</v>
      </c>
      <c r="F207">
        <v>0</v>
      </c>
      <c r="G207">
        <v>1</v>
      </c>
      <c r="H207">
        <v>1</v>
      </c>
      <c r="I207">
        <v>0</v>
      </c>
      <c r="J207">
        <v>1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0.32603583940365299</v>
      </c>
      <c r="AE207">
        <v>1.437635951064847E-2</v>
      </c>
      <c r="AF207">
        <f t="shared" si="6"/>
        <v>4.4094414702825437</v>
      </c>
      <c r="AG207" t="b">
        <f t="shared" si="7"/>
        <v>1</v>
      </c>
    </row>
    <row r="208" spans="1:33" x14ac:dyDescent="0.2">
      <c r="A208" s="4">
        <v>17</v>
      </c>
      <c r="B208">
        <v>0</v>
      </c>
      <c r="C208">
        <v>0</v>
      </c>
      <c r="D208">
        <v>1</v>
      </c>
      <c r="E208">
        <v>1</v>
      </c>
      <c r="F208">
        <v>0</v>
      </c>
      <c r="G208">
        <v>1</v>
      </c>
      <c r="H208">
        <v>1</v>
      </c>
      <c r="I208">
        <v>0</v>
      </c>
      <c r="J208">
        <v>1</v>
      </c>
      <c r="K208">
        <v>1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1</v>
      </c>
      <c r="U208">
        <v>1</v>
      </c>
      <c r="V208">
        <v>1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0.39788608859653851</v>
      </c>
      <c r="AE208">
        <v>5.5736510053000989E-2</v>
      </c>
      <c r="AF208">
        <f t="shared" si="6"/>
        <v>14.008157523074026</v>
      </c>
      <c r="AG208" t="b">
        <f t="shared" si="7"/>
        <v>1</v>
      </c>
    </row>
    <row r="209" spans="1:33" x14ac:dyDescent="0.2">
      <c r="A209" s="4">
        <v>18</v>
      </c>
      <c r="B209">
        <v>0</v>
      </c>
      <c r="C209">
        <v>0</v>
      </c>
      <c r="D209">
        <v>1</v>
      </c>
      <c r="E209">
        <v>1</v>
      </c>
      <c r="F209">
        <v>0</v>
      </c>
      <c r="G209">
        <v>1</v>
      </c>
      <c r="H209">
        <v>1</v>
      </c>
      <c r="I209">
        <v>0</v>
      </c>
      <c r="J209">
        <v>1</v>
      </c>
      <c r="K209">
        <v>1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1</v>
      </c>
      <c r="U209">
        <v>1</v>
      </c>
      <c r="V209">
        <v>1</v>
      </c>
      <c r="W209">
        <v>1</v>
      </c>
      <c r="X209">
        <v>0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0.41735142396681052</v>
      </c>
      <c r="AE209">
        <v>3.5291035476340358E-3</v>
      </c>
      <c r="AF209">
        <f t="shared" si="6"/>
        <v>0.84559518548921608</v>
      </c>
      <c r="AG209" t="b">
        <f t="shared" si="7"/>
        <v>1</v>
      </c>
    </row>
    <row r="210" spans="1:33" x14ac:dyDescent="0.2">
      <c r="A210" s="4">
        <v>19</v>
      </c>
      <c r="B210">
        <v>0</v>
      </c>
      <c r="C210">
        <v>0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0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0.48625530067683181</v>
      </c>
      <c r="AE210">
        <v>1.5687190190832478E-2</v>
      </c>
      <c r="AF210">
        <f t="shared" si="6"/>
        <v>3.2261221973307141</v>
      </c>
      <c r="AG210" t="b">
        <f t="shared" si="7"/>
        <v>1</v>
      </c>
    </row>
    <row r="211" spans="1:33" x14ac:dyDescent="0.2">
      <c r="A211" s="4">
        <v>12</v>
      </c>
      <c r="B211">
        <v>0</v>
      </c>
      <c r="C211">
        <v>0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0</v>
      </c>
      <c r="J211">
        <v>1</v>
      </c>
      <c r="K211">
        <v>1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1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0.44458277238685501</v>
      </c>
      <c r="AE211">
        <v>2.6721786500665749E-2</v>
      </c>
      <c r="AF211">
        <f t="shared" si="6"/>
        <v>6.0105312577010315</v>
      </c>
      <c r="AG211" t="b">
        <f t="shared" si="7"/>
        <v>1</v>
      </c>
    </row>
    <row r="212" spans="1:33" x14ac:dyDescent="0.2">
      <c r="A212" s="4">
        <v>13</v>
      </c>
      <c r="B212">
        <v>0</v>
      </c>
      <c r="C212">
        <v>0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0</v>
      </c>
      <c r="J212">
        <v>1</v>
      </c>
      <c r="K212">
        <v>1</v>
      </c>
      <c r="L212">
        <v>1</v>
      </c>
      <c r="M212">
        <v>0</v>
      </c>
      <c r="N212">
        <v>1</v>
      </c>
      <c r="O212">
        <v>1</v>
      </c>
      <c r="P212">
        <v>0</v>
      </c>
      <c r="Q212">
        <v>0</v>
      </c>
      <c r="R212">
        <v>0</v>
      </c>
      <c r="S212">
        <v>1</v>
      </c>
      <c r="T212">
        <v>1</v>
      </c>
      <c r="U212">
        <v>1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0.5847029182148149</v>
      </c>
      <c r="AE212">
        <v>6.9204995629040172E-2</v>
      </c>
      <c r="AF212">
        <f t="shared" si="6"/>
        <v>11.835924445243634</v>
      </c>
      <c r="AG212" t="b">
        <f t="shared" si="7"/>
        <v>1</v>
      </c>
    </row>
    <row r="213" spans="1:33" x14ac:dyDescent="0.2">
      <c r="A213" s="4">
        <v>14</v>
      </c>
      <c r="B213">
        <v>0</v>
      </c>
      <c r="C213">
        <v>0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0</v>
      </c>
      <c r="J213">
        <v>1</v>
      </c>
      <c r="K213">
        <v>1</v>
      </c>
      <c r="L213">
        <v>1</v>
      </c>
      <c r="M213">
        <v>0</v>
      </c>
      <c r="N213">
        <v>1</v>
      </c>
      <c r="O213">
        <v>1</v>
      </c>
      <c r="P213">
        <v>1</v>
      </c>
      <c r="Q213">
        <v>0</v>
      </c>
      <c r="R213">
        <v>0</v>
      </c>
      <c r="S213">
        <v>1</v>
      </c>
      <c r="T213">
        <v>1</v>
      </c>
      <c r="U213">
        <v>1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0.5214642864421315</v>
      </c>
      <c r="AE213">
        <v>2.280240188453261E-2</v>
      </c>
      <c r="AF213">
        <f t="shared" si="6"/>
        <v>4.3727638646377489</v>
      </c>
      <c r="AG213" t="b">
        <f t="shared" si="7"/>
        <v>1</v>
      </c>
    </row>
    <row r="214" spans="1:33" x14ac:dyDescent="0.2">
      <c r="A214" s="4">
        <v>15</v>
      </c>
      <c r="B214">
        <v>0</v>
      </c>
      <c r="C214">
        <v>0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0</v>
      </c>
      <c r="N214">
        <v>1</v>
      </c>
      <c r="O214">
        <v>1</v>
      </c>
      <c r="P214">
        <v>1</v>
      </c>
      <c r="Q214">
        <v>1</v>
      </c>
      <c r="R214">
        <v>0</v>
      </c>
      <c r="S214">
        <v>1</v>
      </c>
      <c r="T214">
        <v>1</v>
      </c>
      <c r="U214">
        <v>1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0.6403201313967436</v>
      </c>
      <c r="AE214">
        <v>2.0508951219114849E-2</v>
      </c>
      <c r="AF214">
        <f t="shared" si="6"/>
        <v>3.2029215096483457</v>
      </c>
      <c r="AG214" t="b">
        <f t="shared" si="7"/>
        <v>1</v>
      </c>
    </row>
    <row r="215" spans="1:33" x14ac:dyDescent="0.2">
      <c r="A215" s="4">
        <v>17</v>
      </c>
      <c r="B215">
        <v>0</v>
      </c>
      <c r="C215">
        <v>0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0.63334667767472508</v>
      </c>
      <c r="AE215">
        <v>4.3491516908230027E-2</v>
      </c>
      <c r="AF215">
        <f t="shared" si="6"/>
        <v>6.8669369306404491</v>
      </c>
      <c r="AG215" t="b">
        <f t="shared" si="7"/>
        <v>1</v>
      </c>
    </row>
    <row r="216" spans="1:33" x14ac:dyDescent="0.2">
      <c r="A216" s="4">
        <v>18</v>
      </c>
      <c r="B216">
        <v>0</v>
      </c>
      <c r="C216">
        <v>0</v>
      </c>
      <c r="D216">
        <v>1</v>
      </c>
      <c r="E216">
        <v>0</v>
      </c>
      <c r="F216">
        <v>1</v>
      </c>
      <c r="G216">
        <v>0</v>
      </c>
      <c r="H216">
        <v>0</v>
      </c>
      <c r="I216">
        <v>1</v>
      </c>
      <c r="J216">
        <v>1</v>
      </c>
      <c r="K216">
        <v>1</v>
      </c>
      <c r="L216">
        <v>0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0</v>
      </c>
      <c r="U216">
        <v>0</v>
      </c>
      <c r="V216">
        <v>1</v>
      </c>
      <c r="W216">
        <v>1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0.45161486470560402</v>
      </c>
      <c r="AE216">
        <v>1.1784762864275629E-2</v>
      </c>
      <c r="AF216">
        <f t="shared" si="6"/>
        <v>2.6094718720026653</v>
      </c>
      <c r="AG216" t="b">
        <f t="shared" si="7"/>
        <v>1</v>
      </c>
    </row>
    <row r="217" spans="1:33" x14ac:dyDescent="0.2">
      <c r="A217" s="4">
        <v>20</v>
      </c>
      <c r="B217">
        <v>0</v>
      </c>
      <c r="C217">
        <v>0</v>
      </c>
      <c r="D217">
        <v>1</v>
      </c>
      <c r="E217">
        <v>0</v>
      </c>
      <c r="F217">
        <v>1</v>
      </c>
      <c r="G217">
        <v>0</v>
      </c>
      <c r="H217">
        <v>0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0.62251745193146435</v>
      </c>
      <c r="AE217">
        <v>1.8453531423544851E-2</v>
      </c>
      <c r="AF217">
        <f t="shared" si="6"/>
        <v>2.9643396126951442</v>
      </c>
      <c r="AG217" t="b">
        <f t="shared" si="7"/>
        <v>1</v>
      </c>
    </row>
    <row r="218" spans="1:33" x14ac:dyDescent="0.2">
      <c r="A218" s="4">
        <v>21</v>
      </c>
      <c r="B218">
        <v>0</v>
      </c>
      <c r="C218">
        <v>0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0</v>
      </c>
      <c r="K218">
        <v>0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0.52338010167428928</v>
      </c>
      <c r="AE218">
        <v>6.4933533378179739E-2</v>
      </c>
      <c r="AF218">
        <f t="shared" si="6"/>
        <v>12.406572808262641</v>
      </c>
      <c r="AG218" t="b">
        <f t="shared" si="7"/>
        <v>1</v>
      </c>
    </row>
    <row r="219" spans="1:33" x14ac:dyDescent="0.2">
      <c r="A219" s="4">
        <v>22</v>
      </c>
      <c r="B219">
        <v>0</v>
      </c>
      <c r="C219">
        <v>0</v>
      </c>
      <c r="D219">
        <v>1</v>
      </c>
      <c r="E219">
        <v>0</v>
      </c>
      <c r="F219">
        <v>1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0.53479320908905825</v>
      </c>
      <c r="AE219">
        <v>4.3069026906806702E-2</v>
      </c>
      <c r="AF219">
        <f t="shared" si="6"/>
        <v>8.0533982434385187</v>
      </c>
      <c r="AG219" t="b">
        <f t="shared" si="7"/>
        <v>1</v>
      </c>
    </row>
    <row r="220" spans="1:33" x14ac:dyDescent="0.2">
      <c r="A220" s="4">
        <v>23</v>
      </c>
      <c r="B220">
        <v>0</v>
      </c>
      <c r="C220">
        <v>0</v>
      </c>
      <c r="D220">
        <v>1</v>
      </c>
      <c r="E220">
        <v>1</v>
      </c>
      <c r="F220">
        <v>0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0</v>
      </c>
      <c r="O220">
        <v>0</v>
      </c>
      <c r="P220">
        <v>0</v>
      </c>
      <c r="Q220">
        <v>1</v>
      </c>
      <c r="R220">
        <v>1</v>
      </c>
      <c r="S220">
        <v>0</v>
      </c>
      <c r="T220">
        <v>1</v>
      </c>
      <c r="U220">
        <v>1</v>
      </c>
      <c r="V220">
        <v>1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0.41315513305651169</v>
      </c>
      <c r="AE220">
        <v>5.0650981064293638E-2</v>
      </c>
      <c r="AF220">
        <f t="shared" si="6"/>
        <v>12.259555070653221</v>
      </c>
      <c r="AG220" t="b">
        <f t="shared" si="7"/>
        <v>1</v>
      </c>
    </row>
    <row r="221" spans="1:33" x14ac:dyDescent="0.2">
      <c r="A221" s="4">
        <v>24</v>
      </c>
      <c r="B221">
        <v>0</v>
      </c>
      <c r="C221">
        <v>0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0</v>
      </c>
      <c r="J221">
        <v>1</v>
      </c>
      <c r="K221">
        <v>1</v>
      </c>
      <c r="L221">
        <v>1</v>
      </c>
      <c r="M221">
        <v>0</v>
      </c>
      <c r="N221">
        <v>1</v>
      </c>
      <c r="O221">
        <v>1</v>
      </c>
      <c r="P221">
        <v>1</v>
      </c>
      <c r="Q221">
        <v>0</v>
      </c>
      <c r="R221">
        <v>0</v>
      </c>
      <c r="S221">
        <v>1</v>
      </c>
      <c r="T221">
        <v>1</v>
      </c>
      <c r="U221">
        <v>1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0.52740191682703319</v>
      </c>
      <c r="AE221">
        <v>4.5416209010152718E-2</v>
      </c>
      <c r="AF221">
        <f t="shared" si="6"/>
        <v>8.6113090531385819</v>
      </c>
      <c r="AG221" t="b">
        <f t="shared" si="7"/>
        <v>1</v>
      </c>
    </row>
    <row r="222" spans="1:33" x14ac:dyDescent="0.2">
      <c r="A222" s="4">
        <v>25</v>
      </c>
      <c r="B222">
        <v>0</v>
      </c>
      <c r="C222">
        <v>0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0</v>
      </c>
      <c r="J222">
        <v>1</v>
      </c>
      <c r="K222">
        <v>1</v>
      </c>
      <c r="L222">
        <v>0</v>
      </c>
      <c r="M222">
        <v>0</v>
      </c>
      <c r="N222">
        <v>1</v>
      </c>
      <c r="O222">
        <v>1</v>
      </c>
      <c r="P222">
        <v>1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0.47763184616490229</v>
      </c>
      <c r="AE222">
        <v>3.7602993437686458E-2</v>
      </c>
      <c r="AF222">
        <f t="shared" si="6"/>
        <v>7.8727986292404868</v>
      </c>
      <c r="AG222" t="b">
        <f t="shared" si="7"/>
        <v>1</v>
      </c>
    </row>
    <row r="223" spans="1:33" x14ac:dyDescent="0.2">
      <c r="A223" s="4">
        <v>26</v>
      </c>
      <c r="B223">
        <v>0</v>
      </c>
      <c r="C223">
        <v>0</v>
      </c>
      <c r="D223">
        <v>1</v>
      </c>
      <c r="E223">
        <v>1</v>
      </c>
      <c r="F223">
        <v>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1</v>
      </c>
      <c r="R223">
        <v>1</v>
      </c>
      <c r="S223">
        <v>0</v>
      </c>
      <c r="T223">
        <v>0</v>
      </c>
      <c r="U223">
        <v>0</v>
      </c>
      <c r="V223">
        <v>1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0.41561333628925362</v>
      </c>
      <c r="AE223">
        <v>1.4214580323430081E-2</v>
      </c>
      <c r="AF223">
        <f t="shared" si="6"/>
        <v>3.4201453808828663</v>
      </c>
      <c r="AG223" t="b">
        <f t="shared" si="7"/>
        <v>1</v>
      </c>
    </row>
    <row r="224" spans="1:33" x14ac:dyDescent="0.2">
      <c r="A224" s="4">
        <v>27</v>
      </c>
      <c r="B224">
        <v>0</v>
      </c>
      <c r="C224">
        <v>0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1</v>
      </c>
      <c r="O224">
        <v>1</v>
      </c>
      <c r="P224">
        <v>1</v>
      </c>
      <c r="Q224">
        <v>0</v>
      </c>
      <c r="R224">
        <v>0</v>
      </c>
      <c r="S224">
        <v>1</v>
      </c>
      <c r="T224">
        <v>1</v>
      </c>
      <c r="U224">
        <v>1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0.37140610036303467</v>
      </c>
      <c r="AE224">
        <v>1.316081368376611E-2</v>
      </c>
      <c r="AF224">
        <f t="shared" si="6"/>
        <v>3.54351037069718</v>
      </c>
      <c r="AG224" t="b">
        <f t="shared" si="7"/>
        <v>1</v>
      </c>
    </row>
    <row r="225" spans="1:33" x14ac:dyDescent="0.2">
      <c r="A225" s="4">
        <v>28</v>
      </c>
      <c r="B225">
        <v>0</v>
      </c>
      <c r="C225">
        <v>0</v>
      </c>
      <c r="D225">
        <v>1</v>
      </c>
      <c r="E225">
        <v>1</v>
      </c>
      <c r="F225">
        <v>0</v>
      </c>
      <c r="G225">
        <v>1</v>
      </c>
      <c r="H225">
        <v>1</v>
      </c>
      <c r="I225">
        <v>1</v>
      </c>
      <c r="J225">
        <v>0</v>
      </c>
      <c r="K225">
        <v>0</v>
      </c>
      <c r="L225">
        <v>1</v>
      </c>
      <c r="M225">
        <v>1</v>
      </c>
      <c r="N225">
        <v>0</v>
      </c>
      <c r="O225">
        <v>0</v>
      </c>
      <c r="P225">
        <v>0</v>
      </c>
      <c r="Q225">
        <v>1</v>
      </c>
      <c r="R225">
        <v>1</v>
      </c>
      <c r="S225">
        <v>0</v>
      </c>
      <c r="T225">
        <v>1</v>
      </c>
      <c r="U225">
        <v>1</v>
      </c>
      <c r="V225">
        <v>1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0.40220348197744799</v>
      </c>
      <c r="AE225">
        <v>4.8721130998298237E-2</v>
      </c>
      <c r="AF225">
        <f t="shared" si="6"/>
        <v>12.113552761591977</v>
      </c>
      <c r="AG225" t="b">
        <f t="shared" si="7"/>
        <v>1</v>
      </c>
    </row>
    <row r="226" spans="1:33" x14ac:dyDescent="0.2">
      <c r="A226" s="4">
        <v>29</v>
      </c>
      <c r="B226">
        <v>0</v>
      </c>
      <c r="C226">
        <v>0</v>
      </c>
      <c r="D226">
        <v>1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1</v>
      </c>
      <c r="K226">
        <v>1</v>
      </c>
      <c r="L226">
        <v>1</v>
      </c>
      <c r="M226">
        <v>0</v>
      </c>
      <c r="N226">
        <v>1</v>
      </c>
      <c r="O226">
        <v>1</v>
      </c>
      <c r="P226">
        <v>1</v>
      </c>
      <c r="Q226">
        <v>0</v>
      </c>
      <c r="R226">
        <v>0</v>
      </c>
      <c r="S226">
        <v>1</v>
      </c>
      <c r="T226">
        <v>1</v>
      </c>
      <c r="U226">
        <v>1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0.64828211242714795</v>
      </c>
      <c r="AE226">
        <v>2.9618743120795401E-2</v>
      </c>
      <c r="AF226">
        <f t="shared" si="6"/>
        <v>4.5688046227133663</v>
      </c>
      <c r="AG226" t="b">
        <f t="shared" si="7"/>
        <v>1</v>
      </c>
    </row>
    <row r="227" spans="1:33" x14ac:dyDescent="0.2">
      <c r="A227" s="4">
        <v>30</v>
      </c>
      <c r="B227">
        <v>0</v>
      </c>
      <c r="C227">
        <v>0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0</v>
      </c>
      <c r="O227">
        <v>0</v>
      </c>
      <c r="P227">
        <v>0</v>
      </c>
      <c r="Q227">
        <v>1</v>
      </c>
      <c r="R227">
        <v>1</v>
      </c>
      <c r="S227">
        <v>0</v>
      </c>
      <c r="T227">
        <v>1</v>
      </c>
      <c r="U227">
        <v>1</v>
      </c>
      <c r="V227">
        <v>1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0.43057727480991331</v>
      </c>
      <c r="AE227">
        <v>2.506965035899289E-2</v>
      </c>
      <c r="AF227">
        <f t="shared" si="6"/>
        <v>5.8223347644300025</v>
      </c>
      <c r="AG227" t="b">
        <f t="shared" si="7"/>
        <v>1</v>
      </c>
    </row>
    <row r="228" spans="1:33" x14ac:dyDescent="0.2">
      <c r="A228" s="4" t="s">
        <v>35</v>
      </c>
      <c r="B228">
        <v>0</v>
      </c>
      <c r="C228">
        <v>0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0.34591205719919682</v>
      </c>
      <c r="AE228">
        <v>8.6300508007277257E-3</v>
      </c>
      <c r="AF228">
        <f t="shared" si="6"/>
        <v>2.4948684560474939</v>
      </c>
      <c r="AG228" t="b">
        <f t="shared" si="7"/>
        <v>1</v>
      </c>
    </row>
    <row r="229" spans="1:33" x14ac:dyDescent="0.2">
      <c r="A229" s="4" t="s">
        <v>36</v>
      </c>
      <c r="B229">
        <v>0</v>
      </c>
      <c r="C229">
        <v>0</v>
      </c>
      <c r="D229">
        <v>1</v>
      </c>
      <c r="E229">
        <v>0</v>
      </c>
      <c r="F229">
        <v>1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0.35982308376841737</v>
      </c>
      <c r="AE229">
        <v>7.3981459001744854E-3</v>
      </c>
      <c r="AF229">
        <f t="shared" si="6"/>
        <v>2.0560509411163688</v>
      </c>
      <c r="AG229" t="b">
        <f t="shared" si="7"/>
        <v>1</v>
      </c>
    </row>
    <row r="230" spans="1:33" x14ac:dyDescent="0.2">
      <c r="A230" s="4" t="s">
        <v>37</v>
      </c>
      <c r="B230">
        <v>0</v>
      </c>
      <c r="C230">
        <v>0</v>
      </c>
      <c r="D230">
        <v>1</v>
      </c>
      <c r="E230">
        <v>0</v>
      </c>
      <c r="F230">
        <v>1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1</v>
      </c>
      <c r="Q230">
        <v>1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0.39241641573316199</v>
      </c>
      <c r="AE230">
        <v>1.691342001550105E-2</v>
      </c>
      <c r="AF230">
        <f t="shared" si="6"/>
        <v>4.3100694408773039</v>
      </c>
      <c r="AG230" t="b">
        <f t="shared" si="7"/>
        <v>1</v>
      </c>
    </row>
    <row r="231" spans="1:33" x14ac:dyDescent="0.2">
      <c r="A231" s="4" t="s">
        <v>38</v>
      </c>
      <c r="B231">
        <v>0</v>
      </c>
      <c r="C231">
        <v>0</v>
      </c>
      <c r="D231">
        <v>1</v>
      </c>
      <c r="E231">
        <v>0</v>
      </c>
      <c r="F231">
        <v>1</v>
      </c>
      <c r="G231">
        <v>0</v>
      </c>
      <c r="H231">
        <v>0</v>
      </c>
      <c r="I231">
        <v>1</v>
      </c>
      <c r="J231">
        <v>1</v>
      </c>
      <c r="K231">
        <v>1</v>
      </c>
      <c r="L231">
        <v>0</v>
      </c>
      <c r="M231">
        <v>1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0.41630903279471032</v>
      </c>
      <c r="AE231">
        <v>4.8760849036629458E-3</v>
      </c>
      <c r="AF231">
        <f t="shared" si="6"/>
        <v>1.1712656991681065</v>
      </c>
      <c r="AG231" t="b">
        <f t="shared" si="7"/>
        <v>1</v>
      </c>
    </row>
    <row r="232" spans="1:33" x14ac:dyDescent="0.2">
      <c r="A232" s="4" t="s">
        <v>39</v>
      </c>
      <c r="B232">
        <v>0</v>
      </c>
      <c r="C232">
        <v>0</v>
      </c>
      <c r="D232">
        <v>1</v>
      </c>
      <c r="E232">
        <v>0</v>
      </c>
      <c r="F232">
        <v>1</v>
      </c>
      <c r="G232">
        <v>0</v>
      </c>
      <c r="H232">
        <v>0</v>
      </c>
      <c r="I232">
        <v>1</v>
      </c>
      <c r="J232">
        <v>1</v>
      </c>
      <c r="K232">
        <v>1</v>
      </c>
      <c r="L232">
        <v>0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0.35633569288741951</v>
      </c>
      <c r="AE232">
        <v>2.707809085233322E-3</v>
      </c>
      <c r="AF232">
        <f t="shared" si="6"/>
        <v>0.75990397237271023</v>
      </c>
      <c r="AG232" t="b">
        <f t="shared" si="7"/>
        <v>1</v>
      </c>
    </row>
    <row r="233" spans="1:33" x14ac:dyDescent="0.2">
      <c r="A233" s="4" t="s">
        <v>40</v>
      </c>
      <c r="B233">
        <v>0</v>
      </c>
      <c r="C233">
        <v>0</v>
      </c>
      <c r="D233">
        <v>1</v>
      </c>
      <c r="E233">
        <v>0</v>
      </c>
      <c r="F233">
        <v>1</v>
      </c>
      <c r="G233">
        <v>0</v>
      </c>
      <c r="H233">
        <v>0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0</v>
      </c>
      <c r="S233">
        <v>1</v>
      </c>
      <c r="T233">
        <v>1</v>
      </c>
      <c r="U233">
        <v>1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0.59783363606312978</v>
      </c>
      <c r="AE233">
        <v>1.8042976603181979E-2</v>
      </c>
      <c r="AF233">
        <f t="shared" si="6"/>
        <v>3.0180597936909468</v>
      </c>
      <c r="AG233" t="b">
        <f t="shared" si="7"/>
        <v>1</v>
      </c>
    </row>
    <row r="234" spans="1:33" x14ac:dyDescent="0.2">
      <c r="A234" s="4" t="s">
        <v>41</v>
      </c>
      <c r="B234">
        <v>0</v>
      </c>
      <c r="C234">
        <v>0</v>
      </c>
      <c r="D234">
        <v>1</v>
      </c>
      <c r="E234">
        <v>0</v>
      </c>
      <c r="F234">
        <v>1</v>
      </c>
      <c r="G234">
        <v>0</v>
      </c>
      <c r="H234">
        <v>0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0.65509605818664418</v>
      </c>
      <c r="AE234">
        <v>5.246939791890904E-2</v>
      </c>
      <c r="AF234">
        <f t="shared" si="6"/>
        <v>8.0094204908129552</v>
      </c>
      <c r="AG234" t="b">
        <f t="shared" si="7"/>
        <v>1</v>
      </c>
    </row>
    <row r="235" spans="1:33" x14ac:dyDescent="0.2">
      <c r="A235" s="4" t="s">
        <v>42</v>
      </c>
      <c r="B235">
        <v>0</v>
      </c>
      <c r="C235">
        <v>0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0.78305831835210871</v>
      </c>
      <c r="AE235">
        <v>1.6615342661960391E-2</v>
      </c>
      <c r="AF235">
        <f t="shared" si="6"/>
        <v>2.1218525201196017</v>
      </c>
      <c r="AG235" t="b">
        <f t="shared" si="7"/>
        <v>1</v>
      </c>
    </row>
    <row r="236" spans="1:33" x14ac:dyDescent="0.2">
      <c r="A236" s="4" t="s">
        <v>43</v>
      </c>
      <c r="B236">
        <v>0</v>
      </c>
      <c r="C236">
        <v>0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1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1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0.23525418601533199</v>
      </c>
      <c r="AE236">
        <v>2.2264469849430469E-2</v>
      </c>
      <c r="AF236">
        <f t="shared" si="6"/>
        <v>9.4640058170864805</v>
      </c>
      <c r="AG236" t="b">
        <f t="shared" si="7"/>
        <v>1</v>
      </c>
    </row>
    <row r="237" spans="1:33" x14ac:dyDescent="0.2">
      <c r="A237" s="4" t="s">
        <v>45</v>
      </c>
      <c r="B237">
        <v>0</v>
      </c>
      <c r="C237">
        <v>0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0</v>
      </c>
      <c r="T237">
        <v>0</v>
      </c>
      <c r="U237">
        <v>0</v>
      </c>
      <c r="V237">
        <v>1</v>
      </c>
      <c r="W237">
        <v>1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0.27328695204299069</v>
      </c>
      <c r="AE237">
        <v>3.343370308282935E-2</v>
      </c>
      <c r="AF237">
        <f t="shared" si="6"/>
        <v>12.233918536136295</v>
      </c>
      <c r="AG237" t="b">
        <f t="shared" si="7"/>
        <v>1</v>
      </c>
    </row>
    <row r="238" spans="1:33" x14ac:dyDescent="0.2">
      <c r="A238" s="4" t="s">
        <v>46</v>
      </c>
      <c r="B238">
        <v>0</v>
      </c>
      <c r="C238">
        <v>0</v>
      </c>
      <c r="D238">
        <v>1</v>
      </c>
      <c r="E238">
        <v>0</v>
      </c>
      <c r="F238">
        <v>1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0</v>
      </c>
      <c r="U238">
        <v>0</v>
      </c>
      <c r="V238">
        <v>1</v>
      </c>
      <c r="W238">
        <v>1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0.30788814674916709</v>
      </c>
      <c r="AE238">
        <v>4.4956846239962947E-2</v>
      </c>
      <c r="AF238">
        <f t="shared" si="6"/>
        <v>14.601681394571116</v>
      </c>
      <c r="AG238" t="b">
        <f t="shared" si="7"/>
        <v>1</v>
      </c>
    </row>
    <row r="239" spans="1:33" x14ac:dyDescent="0.2">
      <c r="A239" s="4" t="s">
        <v>47</v>
      </c>
      <c r="B239">
        <v>0</v>
      </c>
      <c r="C239">
        <v>0</v>
      </c>
      <c r="D239">
        <v>1</v>
      </c>
      <c r="E239">
        <v>0</v>
      </c>
      <c r="F239">
        <v>1</v>
      </c>
      <c r="G239">
        <v>0</v>
      </c>
      <c r="H239">
        <v>0</v>
      </c>
      <c r="I239">
        <v>1</v>
      </c>
      <c r="J239">
        <v>1</v>
      </c>
      <c r="K239">
        <v>1</v>
      </c>
      <c r="L239">
        <v>0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0</v>
      </c>
      <c r="U239">
        <v>0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0.40471549060135947</v>
      </c>
      <c r="AE239">
        <v>4.9649192216724182E-2</v>
      </c>
      <c r="AF239">
        <f t="shared" si="6"/>
        <v>12.267677756280428</v>
      </c>
      <c r="AG239" t="b">
        <f t="shared" si="7"/>
        <v>1</v>
      </c>
    </row>
    <row r="240" spans="1:33" x14ac:dyDescent="0.2">
      <c r="A240" s="4" t="s">
        <v>48</v>
      </c>
      <c r="B240">
        <v>0</v>
      </c>
      <c r="C240">
        <v>0</v>
      </c>
      <c r="D240">
        <v>1</v>
      </c>
      <c r="E240">
        <v>0</v>
      </c>
      <c r="F240">
        <v>1</v>
      </c>
      <c r="G240">
        <v>0</v>
      </c>
      <c r="H240">
        <v>0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0.59606431820340522</v>
      </c>
      <c r="AE240">
        <v>1.7987575628124541E-2</v>
      </c>
      <c r="AF240">
        <f t="shared" si="6"/>
        <v>3.0177239399836604</v>
      </c>
      <c r="AG240" t="b">
        <f t="shared" si="7"/>
        <v>1</v>
      </c>
    </row>
    <row r="241" spans="1:33" x14ac:dyDescent="0.2">
      <c r="A241" s="4" t="s">
        <v>49</v>
      </c>
      <c r="B241">
        <v>0</v>
      </c>
      <c r="C241">
        <v>0</v>
      </c>
      <c r="D241">
        <v>1</v>
      </c>
      <c r="E241">
        <v>0</v>
      </c>
      <c r="F241">
        <v>1</v>
      </c>
      <c r="G241">
        <v>0</v>
      </c>
      <c r="H241">
        <v>0</v>
      </c>
      <c r="I241">
        <v>1</v>
      </c>
      <c r="J241">
        <v>1</v>
      </c>
      <c r="K241">
        <v>1</v>
      </c>
      <c r="L241">
        <v>0</v>
      </c>
      <c r="M241">
        <v>1</v>
      </c>
      <c r="N241">
        <v>0</v>
      </c>
      <c r="O241">
        <v>0</v>
      </c>
      <c r="P241">
        <v>1</v>
      </c>
      <c r="Q241">
        <v>1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0.50301302213882371</v>
      </c>
      <c r="AE241">
        <v>2.907263379726506E-2</v>
      </c>
      <c r="AF241">
        <f t="shared" si="6"/>
        <v>5.7796980431336564</v>
      </c>
      <c r="AG241" t="b">
        <f t="shared" si="7"/>
        <v>1</v>
      </c>
    </row>
    <row r="242" spans="1:33" x14ac:dyDescent="0.2">
      <c r="A242" s="4" t="s">
        <v>50</v>
      </c>
      <c r="B242">
        <v>0</v>
      </c>
      <c r="C242">
        <v>0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0</v>
      </c>
      <c r="T242">
        <v>0</v>
      </c>
      <c r="U242">
        <v>0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0.25789135087492671</v>
      </c>
      <c r="AE242">
        <v>1.8177135222527719E-2</v>
      </c>
      <c r="AF242">
        <f t="shared" si="6"/>
        <v>7.0483694628996485</v>
      </c>
      <c r="AG242" t="b">
        <f t="shared" si="7"/>
        <v>1</v>
      </c>
    </row>
    <row r="243" spans="1:33" x14ac:dyDescent="0.2">
      <c r="A243" s="4" t="s">
        <v>51</v>
      </c>
      <c r="B243">
        <v>0</v>
      </c>
      <c r="C243">
        <v>0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0.34776982326478878</v>
      </c>
      <c r="AE243">
        <v>4.2484549615113908E-2</v>
      </c>
      <c r="AF243">
        <f t="shared" si="6"/>
        <v>12.216284097417665</v>
      </c>
      <c r="AG243" t="b">
        <f t="shared" si="7"/>
        <v>1</v>
      </c>
    </row>
    <row r="244" spans="1:33" x14ac:dyDescent="0.2">
      <c r="A244" s="4" t="s">
        <v>52</v>
      </c>
      <c r="B244">
        <v>0</v>
      </c>
      <c r="C244">
        <v>0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1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1</v>
      </c>
      <c r="W244">
        <v>1</v>
      </c>
      <c r="X244">
        <v>0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0.19672122896831251</v>
      </c>
      <c r="AE244">
        <v>1.17811873430172E-2</v>
      </c>
      <c r="AF244">
        <f t="shared" si="6"/>
        <v>5.9887727444580436</v>
      </c>
      <c r="AG244" t="b">
        <f t="shared" si="7"/>
        <v>1</v>
      </c>
    </row>
    <row r="245" spans="1:33" x14ac:dyDescent="0.2">
      <c r="A245" s="4" t="s">
        <v>53</v>
      </c>
      <c r="B245">
        <v>0</v>
      </c>
      <c r="C245">
        <v>0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0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0</v>
      </c>
      <c r="U245">
        <v>0</v>
      </c>
      <c r="V245">
        <v>1</v>
      </c>
      <c r="W245">
        <v>1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0.37378318030312008</v>
      </c>
      <c r="AE245">
        <v>1.131025301858081E-2</v>
      </c>
      <c r="AF245">
        <f t="shared" si="6"/>
        <v>3.0258860255318982</v>
      </c>
      <c r="AG245" t="b">
        <f t="shared" si="7"/>
        <v>1</v>
      </c>
    </row>
    <row r="246" spans="1:33" x14ac:dyDescent="0.2">
      <c r="A246" s="4" t="s">
        <v>54</v>
      </c>
      <c r="B246">
        <v>0</v>
      </c>
      <c r="C246">
        <v>0</v>
      </c>
      <c r="D246">
        <v>1</v>
      </c>
      <c r="E246">
        <v>0</v>
      </c>
      <c r="F246">
        <v>1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1</v>
      </c>
      <c r="M246">
        <v>0</v>
      </c>
      <c r="N246">
        <v>1</v>
      </c>
      <c r="O246">
        <v>1</v>
      </c>
      <c r="P246">
        <v>0</v>
      </c>
      <c r="Q246">
        <v>1</v>
      </c>
      <c r="R246">
        <v>0</v>
      </c>
      <c r="S246">
        <v>1</v>
      </c>
      <c r="T246">
        <v>1</v>
      </c>
      <c r="U246">
        <v>1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0.75803102728940353</v>
      </c>
      <c r="AE246">
        <v>4.2781325898821332E-2</v>
      </c>
      <c r="AF246">
        <f t="shared" si="6"/>
        <v>5.6437433770752694</v>
      </c>
      <c r="AG246" t="b">
        <f t="shared" si="7"/>
        <v>1</v>
      </c>
    </row>
    <row r="247" spans="1:33" x14ac:dyDescent="0.2">
      <c r="A247" s="4" t="s">
        <v>56</v>
      </c>
      <c r="B247">
        <v>0</v>
      </c>
      <c r="C247">
        <v>0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0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0.57530763378722638</v>
      </c>
      <c r="AE247">
        <v>4.5211924668851697E-3</v>
      </c>
      <c r="AF247">
        <f t="shared" si="6"/>
        <v>0.78587388752732978</v>
      </c>
      <c r="AG247" t="b">
        <f t="shared" si="7"/>
        <v>1</v>
      </c>
    </row>
    <row r="248" spans="1:33" x14ac:dyDescent="0.2">
      <c r="A248" s="4" t="s">
        <v>57</v>
      </c>
      <c r="B248">
        <v>0</v>
      </c>
      <c r="C248">
        <v>0</v>
      </c>
      <c r="D248">
        <v>1</v>
      </c>
      <c r="E248">
        <v>0</v>
      </c>
      <c r="F248">
        <v>1</v>
      </c>
      <c r="G248">
        <v>0</v>
      </c>
      <c r="H248">
        <v>0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0.68064016841336938</v>
      </c>
      <c r="AE248">
        <v>9.5605703641822148E-3</v>
      </c>
      <c r="AF248">
        <f t="shared" si="6"/>
        <v>1.4046438643885395</v>
      </c>
      <c r="AG248" t="b">
        <f t="shared" si="7"/>
        <v>1</v>
      </c>
    </row>
    <row r="249" spans="1:33" x14ac:dyDescent="0.2">
      <c r="A249" s="4" t="s">
        <v>58</v>
      </c>
      <c r="B249">
        <v>0</v>
      </c>
      <c r="C249">
        <v>0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0.70594889103580938</v>
      </c>
      <c r="AE249">
        <v>2.925519336721168E-2</v>
      </c>
      <c r="AF249">
        <f t="shared" si="6"/>
        <v>4.1440950950835482</v>
      </c>
      <c r="AG249" t="b">
        <f t="shared" si="7"/>
        <v>1</v>
      </c>
    </row>
    <row r="250" spans="1:33" x14ac:dyDescent="0.2">
      <c r="A250" s="4" t="s">
        <v>59</v>
      </c>
      <c r="B250">
        <v>0</v>
      </c>
      <c r="C250">
        <v>0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0</v>
      </c>
      <c r="O250">
        <v>0</v>
      </c>
      <c r="P250">
        <v>1</v>
      </c>
      <c r="Q250">
        <v>1</v>
      </c>
      <c r="R250">
        <v>1</v>
      </c>
      <c r="S250">
        <v>0</v>
      </c>
      <c r="T250">
        <v>1</v>
      </c>
      <c r="U250">
        <v>1</v>
      </c>
      <c r="V250">
        <v>1</v>
      </c>
      <c r="W250">
        <v>1</v>
      </c>
      <c r="X250">
        <v>0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0.44821658489176108</v>
      </c>
      <c r="AE250">
        <v>9.1988579553878291E-3</v>
      </c>
      <c r="AF250">
        <f t="shared" si="6"/>
        <v>2.0523243149535046</v>
      </c>
      <c r="AG250" t="b">
        <f t="shared" si="7"/>
        <v>1</v>
      </c>
    </row>
    <row r="251" spans="1:33" x14ac:dyDescent="0.2">
      <c r="A251" s="4" t="s">
        <v>60</v>
      </c>
      <c r="B251">
        <v>0</v>
      </c>
      <c r="C251">
        <v>0</v>
      </c>
      <c r="D251">
        <v>1</v>
      </c>
      <c r="E251">
        <v>1</v>
      </c>
      <c r="F251">
        <v>0</v>
      </c>
      <c r="G251">
        <v>1</v>
      </c>
      <c r="H251">
        <v>1</v>
      </c>
      <c r="I251">
        <v>0</v>
      </c>
      <c r="J251">
        <v>1</v>
      </c>
      <c r="K251">
        <v>1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0.44306396493933892</v>
      </c>
      <c r="AE251">
        <v>1.587349930252108E-2</v>
      </c>
      <c r="AF251">
        <f t="shared" si="6"/>
        <v>3.5826653843749998</v>
      </c>
      <c r="AG251" t="b">
        <f t="shared" si="7"/>
        <v>1</v>
      </c>
    </row>
    <row r="252" spans="1:33" x14ac:dyDescent="0.2">
      <c r="A252" s="4" t="s">
        <v>61</v>
      </c>
      <c r="B252">
        <v>0</v>
      </c>
      <c r="C252">
        <v>0</v>
      </c>
      <c r="D252">
        <v>1</v>
      </c>
      <c r="E252">
        <v>1</v>
      </c>
      <c r="F252">
        <v>0</v>
      </c>
      <c r="G252">
        <v>1</v>
      </c>
      <c r="H252">
        <v>1</v>
      </c>
      <c r="I252">
        <v>0</v>
      </c>
      <c r="J252">
        <v>1</v>
      </c>
      <c r="K252">
        <v>1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1</v>
      </c>
      <c r="U252">
        <v>1</v>
      </c>
      <c r="V252">
        <v>1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0.47420913164235229</v>
      </c>
      <c r="AE252">
        <v>2.525022903617799E-2</v>
      </c>
      <c r="AF252">
        <f t="shared" si="6"/>
        <v>5.3247032482752088</v>
      </c>
      <c r="AG252" t="b">
        <f t="shared" si="7"/>
        <v>1</v>
      </c>
    </row>
    <row r="253" spans="1:33" x14ac:dyDescent="0.2">
      <c r="A253" s="4" t="s">
        <v>62</v>
      </c>
      <c r="B253">
        <v>0</v>
      </c>
      <c r="C253">
        <v>0</v>
      </c>
      <c r="D253">
        <v>1</v>
      </c>
      <c r="E253">
        <v>1</v>
      </c>
      <c r="F253">
        <v>0</v>
      </c>
      <c r="G253">
        <v>1</v>
      </c>
      <c r="H253">
        <v>1</v>
      </c>
      <c r="I253">
        <v>0</v>
      </c>
      <c r="J253">
        <v>1</v>
      </c>
      <c r="K253">
        <v>1</v>
      </c>
      <c r="L253">
        <v>1</v>
      </c>
      <c r="M253">
        <v>1</v>
      </c>
      <c r="N253">
        <v>0</v>
      </c>
      <c r="O253">
        <v>0</v>
      </c>
      <c r="P253">
        <v>1</v>
      </c>
      <c r="Q253">
        <v>0</v>
      </c>
      <c r="R253">
        <v>1</v>
      </c>
      <c r="S253">
        <v>0</v>
      </c>
      <c r="T253">
        <v>1</v>
      </c>
      <c r="U253">
        <v>1</v>
      </c>
      <c r="V253">
        <v>1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0.51862750017427373</v>
      </c>
      <c r="AE253">
        <v>2.3663241993457249E-2</v>
      </c>
      <c r="AF253">
        <f t="shared" si="6"/>
        <v>4.5626662653842534</v>
      </c>
      <c r="AG253" t="b">
        <f t="shared" si="7"/>
        <v>1</v>
      </c>
    </row>
    <row r="254" spans="1:33" x14ac:dyDescent="0.2">
      <c r="A254" s="4" t="s">
        <v>63</v>
      </c>
      <c r="B254">
        <v>0</v>
      </c>
      <c r="C254">
        <v>0</v>
      </c>
      <c r="D254">
        <v>1</v>
      </c>
      <c r="E254">
        <v>1</v>
      </c>
      <c r="F254">
        <v>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0</v>
      </c>
      <c r="O254">
        <v>0</v>
      </c>
      <c r="P254">
        <v>1</v>
      </c>
      <c r="Q254">
        <v>1</v>
      </c>
      <c r="R254">
        <v>1</v>
      </c>
      <c r="S254">
        <v>0</v>
      </c>
      <c r="T254">
        <v>1</v>
      </c>
      <c r="U254">
        <v>1</v>
      </c>
      <c r="V254">
        <v>1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0.47526373998676202</v>
      </c>
      <c r="AE254">
        <v>2.3134473714520931E-2</v>
      </c>
      <c r="AF254">
        <f t="shared" si="6"/>
        <v>4.8677127599015479</v>
      </c>
      <c r="AG254" t="b">
        <f t="shared" si="7"/>
        <v>1</v>
      </c>
    </row>
    <row r="255" spans="1:33" x14ac:dyDescent="0.2">
      <c r="A255" s="4" t="s">
        <v>64</v>
      </c>
      <c r="B255">
        <v>0</v>
      </c>
      <c r="C255">
        <v>0</v>
      </c>
      <c r="D255">
        <v>1</v>
      </c>
      <c r="E255">
        <v>1</v>
      </c>
      <c r="F255">
        <v>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0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0.63780329791790891</v>
      </c>
      <c r="AE255">
        <v>1.506848913820889E-2</v>
      </c>
      <c r="AF255">
        <f t="shared" si="6"/>
        <v>2.3625605554878053</v>
      </c>
      <c r="AG255" t="b">
        <f t="shared" si="7"/>
        <v>1</v>
      </c>
    </row>
    <row r="256" spans="1:33" x14ac:dyDescent="0.2">
      <c r="A256" s="4" t="s">
        <v>65</v>
      </c>
      <c r="B256">
        <v>0</v>
      </c>
      <c r="C256">
        <v>0</v>
      </c>
      <c r="D256">
        <v>1</v>
      </c>
      <c r="E256">
        <v>1</v>
      </c>
      <c r="F256">
        <v>0</v>
      </c>
      <c r="G256">
        <v>1</v>
      </c>
      <c r="H256">
        <v>1</v>
      </c>
      <c r="I256">
        <v>0</v>
      </c>
      <c r="J256">
        <v>1</v>
      </c>
      <c r="K256">
        <v>1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1</v>
      </c>
      <c r="U256">
        <v>1</v>
      </c>
      <c r="V256">
        <v>1</v>
      </c>
      <c r="W256">
        <v>1</v>
      </c>
      <c r="X256">
        <v>0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0.42888592653144342</v>
      </c>
      <c r="AE256">
        <v>5.7645941785420998E-2</v>
      </c>
      <c r="AF256">
        <f t="shared" si="6"/>
        <v>13.440856465406714</v>
      </c>
      <c r="AG256" t="b">
        <f t="shared" si="7"/>
        <v>1</v>
      </c>
    </row>
    <row r="257" spans="1:33" x14ac:dyDescent="0.2">
      <c r="A257" s="4" t="s">
        <v>66</v>
      </c>
      <c r="B257">
        <v>0</v>
      </c>
      <c r="C257">
        <v>0</v>
      </c>
      <c r="D257">
        <v>1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1</v>
      </c>
      <c r="K257">
        <v>1</v>
      </c>
      <c r="L257">
        <v>1</v>
      </c>
      <c r="M257">
        <v>0</v>
      </c>
      <c r="N257">
        <v>1</v>
      </c>
      <c r="O257">
        <v>1</v>
      </c>
      <c r="P257">
        <v>0</v>
      </c>
      <c r="Q257">
        <v>0</v>
      </c>
      <c r="R257">
        <v>0</v>
      </c>
      <c r="S257">
        <v>1</v>
      </c>
      <c r="T257">
        <v>1</v>
      </c>
      <c r="U257">
        <v>1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0.59505584426712832</v>
      </c>
      <c r="AE257">
        <v>1.143159412873271E-2</v>
      </c>
      <c r="AF257">
        <f t="shared" si="6"/>
        <v>1.9210960179396066</v>
      </c>
      <c r="AG257" t="b">
        <f t="shared" si="7"/>
        <v>1</v>
      </c>
    </row>
    <row r="258" spans="1:33" x14ac:dyDescent="0.2">
      <c r="A258" s="4" t="s">
        <v>67</v>
      </c>
      <c r="B258">
        <v>0</v>
      </c>
      <c r="C258">
        <v>0</v>
      </c>
      <c r="D258">
        <v>1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1</v>
      </c>
      <c r="K258">
        <v>1</v>
      </c>
      <c r="L258">
        <v>1</v>
      </c>
      <c r="M258">
        <v>0</v>
      </c>
      <c r="N258">
        <v>1</v>
      </c>
      <c r="O258">
        <v>1</v>
      </c>
      <c r="P258">
        <v>0</v>
      </c>
      <c r="Q258">
        <v>0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0.63528158908340926</v>
      </c>
      <c r="AE258">
        <v>1.9001075258906871E-2</v>
      </c>
      <c r="AF258">
        <f t="shared" ref="AF258:AF321" si="8">100*AE258/AD258</f>
        <v>2.9909689790194949</v>
      </c>
      <c r="AG258" t="b">
        <f t="shared" ref="AG258:AG321" si="9">(AF258&lt;15)</f>
        <v>1</v>
      </c>
    </row>
    <row r="259" spans="1:33" x14ac:dyDescent="0.2">
      <c r="A259" s="4" t="s">
        <v>69</v>
      </c>
      <c r="B259">
        <v>0</v>
      </c>
      <c r="C259">
        <v>0</v>
      </c>
      <c r="D259">
        <v>1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1</v>
      </c>
      <c r="K259">
        <v>1</v>
      </c>
      <c r="L259">
        <v>1</v>
      </c>
      <c r="M259">
        <v>0</v>
      </c>
      <c r="N259">
        <v>1</v>
      </c>
      <c r="O259">
        <v>1</v>
      </c>
      <c r="P259">
        <v>0</v>
      </c>
      <c r="Q259">
        <v>0</v>
      </c>
      <c r="R259">
        <v>0</v>
      </c>
      <c r="S259">
        <v>1</v>
      </c>
      <c r="T259">
        <v>1</v>
      </c>
      <c r="U259">
        <v>1</v>
      </c>
      <c r="V259">
        <v>0</v>
      </c>
      <c r="W259">
        <v>0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0.58677019562368338</v>
      </c>
      <c r="AE259">
        <v>6.9017806248203042E-2</v>
      </c>
      <c r="AF259">
        <f t="shared" si="8"/>
        <v>11.762323097348766</v>
      </c>
      <c r="AG259" t="b">
        <f t="shared" si="9"/>
        <v>1</v>
      </c>
    </row>
    <row r="260" spans="1:33" x14ac:dyDescent="0.2">
      <c r="A260" s="4" t="s">
        <v>70</v>
      </c>
      <c r="B260">
        <v>0</v>
      </c>
      <c r="C260">
        <v>0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0</v>
      </c>
      <c r="O260">
        <v>0</v>
      </c>
      <c r="P260">
        <v>1</v>
      </c>
      <c r="Q260">
        <v>1</v>
      </c>
      <c r="R260">
        <v>0</v>
      </c>
      <c r="S260">
        <v>0</v>
      </c>
      <c r="T260">
        <v>1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0.36551123272317793</v>
      </c>
      <c r="AE260">
        <v>4.7298935409920383E-2</v>
      </c>
      <c r="AF260">
        <f t="shared" si="8"/>
        <v>12.940487507737556</v>
      </c>
      <c r="AG260" t="b">
        <f t="shared" si="9"/>
        <v>1</v>
      </c>
    </row>
    <row r="261" spans="1:33" x14ac:dyDescent="0.2">
      <c r="A261" s="4" t="s">
        <v>71</v>
      </c>
      <c r="B261">
        <v>0</v>
      </c>
      <c r="C261">
        <v>0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1</v>
      </c>
      <c r="J261">
        <v>1</v>
      </c>
      <c r="K261">
        <v>1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1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0.43973677259687582</v>
      </c>
      <c r="AE261">
        <v>5.7828349013787042E-2</v>
      </c>
      <c r="AF261">
        <f t="shared" si="8"/>
        <v>13.150673907092274</v>
      </c>
      <c r="AG261" t="b">
        <f t="shared" si="9"/>
        <v>1</v>
      </c>
    </row>
    <row r="262" spans="1:33" x14ac:dyDescent="0.2">
      <c r="A262" s="4" t="s">
        <v>72</v>
      </c>
      <c r="B262">
        <v>0</v>
      </c>
      <c r="C262">
        <v>0</v>
      </c>
      <c r="D262">
        <v>1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1</v>
      </c>
      <c r="K262">
        <v>1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1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0.48816324580052972</v>
      </c>
      <c r="AE262">
        <v>8.6987900905289503E-3</v>
      </c>
      <c r="AF262">
        <f t="shared" si="8"/>
        <v>1.7819428573046232</v>
      </c>
      <c r="AG262" t="b">
        <f t="shared" si="9"/>
        <v>1</v>
      </c>
    </row>
    <row r="263" spans="1:33" x14ac:dyDescent="0.2">
      <c r="A263" s="4" t="s">
        <v>73</v>
      </c>
      <c r="B263">
        <v>0</v>
      </c>
      <c r="C263">
        <v>0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</v>
      </c>
      <c r="K263">
        <v>1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0.44685229297709211</v>
      </c>
      <c r="AE263">
        <v>3.0496499881497049E-2</v>
      </c>
      <c r="AF263">
        <f t="shared" si="8"/>
        <v>6.8247383667471642</v>
      </c>
      <c r="AG263" t="b">
        <f t="shared" si="9"/>
        <v>1</v>
      </c>
    </row>
    <row r="264" spans="1:33" x14ac:dyDescent="0.2">
      <c r="A264" s="4" t="s">
        <v>74</v>
      </c>
      <c r="B264">
        <v>0</v>
      </c>
      <c r="C264">
        <v>0</v>
      </c>
      <c r="D264">
        <v>1</v>
      </c>
      <c r="E264">
        <v>1</v>
      </c>
      <c r="F264">
        <v>0</v>
      </c>
      <c r="G264">
        <v>1</v>
      </c>
      <c r="H264">
        <v>1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0.40618778947019463</v>
      </c>
      <c r="AE264">
        <v>2.4473382732565632E-2</v>
      </c>
      <c r="AF264">
        <f t="shared" si="8"/>
        <v>6.0251399394568566</v>
      </c>
      <c r="AG264" t="b">
        <f t="shared" si="9"/>
        <v>1</v>
      </c>
    </row>
    <row r="265" spans="1:33" x14ac:dyDescent="0.2">
      <c r="A265" s="4" t="s">
        <v>75</v>
      </c>
      <c r="B265">
        <v>0</v>
      </c>
      <c r="C265">
        <v>0</v>
      </c>
      <c r="D265">
        <v>1</v>
      </c>
      <c r="E265">
        <v>1</v>
      </c>
      <c r="F265">
        <v>0</v>
      </c>
      <c r="G265">
        <v>1</v>
      </c>
      <c r="H265">
        <v>1</v>
      </c>
      <c r="I265">
        <v>0</v>
      </c>
      <c r="J265">
        <v>1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0.33050519273884932</v>
      </c>
      <c r="AE265">
        <v>1.0064982028219789E-2</v>
      </c>
      <c r="AF265">
        <f t="shared" si="8"/>
        <v>3.0453324938143091</v>
      </c>
      <c r="AG265" t="b">
        <f t="shared" si="9"/>
        <v>1</v>
      </c>
    </row>
    <row r="266" spans="1:33" x14ac:dyDescent="0.2">
      <c r="A266" s="4" t="s">
        <v>76</v>
      </c>
      <c r="B266">
        <v>0</v>
      </c>
      <c r="C266">
        <v>0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1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1</v>
      </c>
      <c r="V266">
        <v>0</v>
      </c>
      <c r="W266">
        <v>0</v>
      </c>
      <c r="X266">
        <v>0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0.50224020371841638</v>
      </c>
      <c r="AE266">
        <v>4.8001454944511879E-3</v>
      </c>
      <c r="AF266">
        <f t="shared" si="8"/>
        <v>0.95574696308908291</v>
      </c>
      <c r="AG266" t="b">
        <f t="shared" si="9"/>
        <v>1</v>
      </c>
    </row>
    <row r="267" spans="1:33" x14ac:dyDescent="0.2">
      <c r="A267" s="4" t="s">
        <v>77</v>
      </c>
      <c r="B267">
        <v>0</v>
      </c>
      <c r="C267">
        <v>0</v>
      </c>
      <c r="D267">
        <v>1</v>
      </c>
      <c r="E267">
        <v>1</v>
      </c>
      <c r="F267">
        <v>0</v>
      </c>
      <c r="G267">
        <v>1</v>
      </c>
      <c r="H267">
        <v>1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1</v>
      </c>
      <c r="V267">
        <v>0</v>
      </c>
      <c r="W267">
        <v>0</v>
      </c>
      <c r="X267">
        <v>0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0.30658490851062598</v>
      </c>
      <c r="AE267">
        <v>1.332244245154578E-2</v>
      </c>
      <c r="AF267">
        <f t="shared" si="8"/>
        <v>4.3454332166138032</v>
      </c>
      <c r="AG267" t="b">
        <f t="shared" si="9"/>
        <v>1</v>
      </c>
    </row>
    <row r="268" spans="1:33" x14ac:dyDescent="0.2">
      <c r="A268" s="4" t="s">
        <v>78</v>
      </c>
      <c r="B268">
        <v>0</v>
      </c>
      <c r="C268">
        <v>0</v>
      </c>
      <c r="D268">
        <v>1</v>
      </c>
      <c r="E268">
        <v>1</v>
      </c>
      <c r="F268">
        <v>0</v>
      </c>
      <c r="G268">
        <v>1</v>
      </c>
      <c r="H268">
        <v>1</v>
      </c>
      <c r="I268">
        <v>0</v>
      </c>
      <c r="J268">
        <v>1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0.36502321751922279</v>
      </c>
      <c r="AE268">
        <v>1.1695610224717899E-2</v>
      </c>
      <c r="AF268">
        <f t="shared" si="8"/>
        <v>3.2040729639620764</v>
      </c>
      <c r="AG268" t="b">
        <f t="shared" si="9"/>
        <v>1</v>
      </c>
    </row>
    <row r="269" spans="1:33" x14ac:dyDescent="0.2">
      <c r="A269" s="4" t="s">
        <v>79</v>
      </c>
      <c r="B269">
        <v>0</v>
      </c>
      <c r="C269">
        <v>0</v>
      </c>
      <c r="D269">
        <v>1</v>
      </c>
      <c r="E269">
        <v>1</v>
      </c>
      <c r="F269">
        <v>0</v>
      </c>
      <c r="G269">
        <v>1</v>
      </c>
      <c r="H269">
        <v>1</v>
      </c>
      <c r="I269">
        <v>0</v>
      </c>
      <c r="J269">
        <v>0</v>
      </c>
      <c r="K269">
        <v>0</v>
      </c>
      <c r="L269">
        <v>1</v>
      </c>
      <c r="M269">
        <v>1</v>
      </c>
      <c r="N269">
        <v>0</v>
      </c>
      <c r="O269">
        <v>0</v>
      </c>
      <c r="P269">
        <v>1</v>
      </c>
      <c r="Q269">
        <v>0</v>
      </c>
      <c r="R269">
        <v>1</v>
      </c>
      <c r="S269">
        <v>0</v>
      </c>
      <c r="T269">
        <v>1</v>
      </c>
      <c r="U269">
        <v>1</v>
      </c>
      <c r="V269">
        <v>1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0.50955763247133812</v>
      </c>
      <c r="AE269">
        <v>4.74797710305657E-2</v>
      </c>
      <c r="AF269">
        <f t="shared" si="8"/>
        <v>9.3178412028273119</v>
      </c>
      <c r="AG269" t="b">
        <f t="shared" si="9"/>
        <v>1</v>
      </c>
    </row>
    <row r="270" spans="1:33" x14ac:dyDescent="0.2">
      <c r="A270" s="4" t="s">
        <v>81</v>
      </c>
      <c r="B270">
        <v>0</v>
      </c>
      <c r="C270">
        <v>0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1</v>
      </c>
      <c r="O270">
        <v>1</v>
      </c>
      <c r="P270">
        <v>0</v>
      </c>
      <c r="Q270">
        <v>0</v>
      </c>
      <c r="R270">
        <v>0</v>
      </c>
      <c r="S270">
        <v>1</v>
      </c>
      <c r="T270">
        <v>1</v>
      </c>
      <c r="U270">
        <v>1</v>
      </c>
      <c r="V270">
        <v>0</v>
      </c>
      <c r="W270">
        <v>0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0.48164578642127798</v>
      </c>
      <c r="AE270">
        <v>1.113608703623724E-2</v>
      </c>
      <c r="AF270">
        <f t="shared" si="8"/>
        <v>2.3120906172522626</v>
      </c>
      <c r="AG270" t="b">
        <f t="shared" si="9"/>
        <v>1</v>
      </c>
    </row>
    <row r="271" spans="1:33" x14ac:dyDescent="0.2">
      <c r="A271" s="4" t="s">
        <v>82</v>
      </c>
      <c r="B271">
        <v>0</v>
      </c>
      <c r="C271">
        <v>0</v>
      </c>
      <c r="D271">
        <v>1</v>
      </c>
      <c r="E271">
        <v>1</v>
      </c>
      <c r="F271">
        <v>0</v>
      </c>
      <c r="G271">
        <v>1</v>
      </c>
      <c r="H271">
        <v>1</v>
      </c>
      <c r="I271">
        <v>0</v>
      </c>
      <c r="J271">
        <v>1</v>
      </c>
      <c r="K271">
        <v>1</v>
      </c>
      <c r="L271">
        <v>0</v>
      </c>
      <c r="M271">
        <v>1</v>
      </c>
      <c r="N271">
        <v>0</v>
      </c>
      <c r="O271">
        <v>0</v>
      </c>
      <c r="P271">
        <v>1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1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0.37695151139042921</v>
      </c>
      <c r="AE271">
        <v>1.69596309473302E-2</v>
      </c>
      <c r="AF271">
        <f t="shared" si="8"/>
        <v>4.4991545158613748</v>
      </c>
      <c r="AG271" t="b">
        <f t="shared" si="9"/>
        <v>1</v>
      </c>
    </row>
    <row r="272" spans="1:33" x14ac:dyDescent="0.2">
      <c r="A272" s="4" t="s">
        <v>83</v>
      </c>
      <c r="B272">
        <v>0</v>
      </c>
      <c r="C272">
        <v>0</v>
      </c>
      <c r="D272">
        <v>1</v>
      </c>
      <c r="E272">
        <v>1</v>
      </c>
      <c r="F272">
        <v>0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0</v>
      </c>
      <c r="M272">
        <v>1</v>
      </c>
      <c r="N272">
        <v>0</v>
      </c>
      <c r="O272">
        <v>0</v>
      </c>
      <c r="P272">
        <v>1</v>
      </c>
      <c r="Q272">
        <v>1</v>
      </c>
      <c r="R272">
        <v>1</v>
      </c>
      <c r="S272">
        <v>0</v>
      </c>
      <c r="T272">
        <v>0</v>
      </c>
      <c r="U272">
        <v>0</v>
      </c>
      <c r="V272">
        <v>1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0.55480186261004749</v>
      </c>
      <c r="AE272">
        <v>2.2845418260648349E-2</v>
      </c>
      <c r="AF272">
        <f t="shared" si="8"/>
        <v>4.117761637131645</v>
      </c>
      <c r="AG272" t="b">
        <f t="shared" si="9"/>
        <v>1</v>
      </c>
    </row>
    <row r="273" spans="1:33" x14ac:dyDescent="0.2">
      <c r="A273" s="4" t="s">
        <v>84</v>
      </c>
      <c r="B273">
        <v>0</v>
      </c>
      <c r="C273">
        <v>0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0</v>
      </c>
      <c r="J273">
        <v>1</v>
      </c>
      <c r="K273">
        <v>1</v>
      </c>
      <c r="L273">
        <v>0</v>
      </c>
      <c r="M273">
        <v>0</v>
      </c>
      <c r="N273">
        <v>1</v>
      </c>
      <c r="O273">
        <v>1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0.37299087639744272</v>
      </c>
      <c r="AE273">
        <v>1.5464271200114829E-2</v>
      </c>
      <c r="AF273">
        <f t="shared" si="8"/>
        <v>4.1460186236932994</v>
      </c>
      <c r="AG273" t="b">
        <f t="shared" si="9"/>
        <v>1</v>
      </c>
    </row>
    <row r="274" spans="1:33" x14ac:dyDescent="0.2">
      <c r="A274" s="4">
        <v>12</v>
      </c>
      <c r="B274">
        <v>0</v>
      </c>
      <c r="C274">
        <v>0</v>
      </c>
      <c r="D274">
        <v>0</v>
      </c>
      <c r="E274">
        <v>1</v>
      </c>
      <c r="F274">
        <v>1</v>
      </c>
      <c r="G274">
        <v>1</v>
      </c>
      <c r="H274">
        <v>1</v>
      </c>
      <c r="I274">
        <v>0</v>
      </c>
      <c r="J274">
        <v>1</v>
      </c>
      <c r="K274">
        <v>1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1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0.16134567490005369</v>
      </c>
      <c r="AE274">
        <v>1.7885523533009779E-2</v>
      </c>
      <c r="AF274">
        <f t="shared" si="8"/>
        <v>11.085220316001063</v>
      </c>
      <c r="AG274" t="b">
        <f t="shared" si="9"/>
        <v>1</v>
      </c>
    </row>
    <row r="275" spans="1:33" x14ac:dyDescent="0.2">
      <c r="A275" s="4">
        <v>13</v>
      </c>
      <c r="B275">
        <v>0</v>
      </c>
      <c r="C275">
        <v>0</v>
      </c>
      <c r="D275">
        <v>0</v>
      </c>
      <c r="E275">
        <v>1</v>
      </c>
      <c r="F275">
        <v>1</v>
      </c>
      <c r="G275">
        <v>1</v>
      </c>
      <c r="H275">
        <v>1</v>
      </c>
      <c r="I275">
        <v>0</v>
      </c>
      <c r="J275">
        <v>1</v>
      </c>
      <c r="K275">
        <v>1</v>
      </c>
      <c r="L275">
        <v>1</v>
      </c>
      <c r="M275">
        <v>0</v>
      </c>
      <c r="N275">
        <v>1</v>
      </c>
      <c r="O275">
        <v>1</v>
      </c>
      <c r="P275">
        <v>0</v>
      </c>
      <c r="Q275">
        <v>0</v>
      </c>
      <c r="R275">
        <v>0</v>
      </c>
      <c r="S275">
        <v>1</v>
      </c>
      <c r="T275">
        <v>1</v>
      </c>
      <c r="U275">
        <v>1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0.51609880928158169</v>
      </c>
      <c r="AE275">
        <v>9.6892921738277182E-3</v>
      </c>
      <c r="AF275">
        <f t="shared" si="8"/>
        <v>1.8774102942255142</v>
      </c>
      <c r="AG275" t="b">
        <f t="shared" si="9"/>
        <v>1</v>
      </c>
    </row>
    <row r="276" spans="1:33" x14ac:dyDescent="0.2">
      <c r="A276" s="4">
        <v>14</v>
      </c>
      <c r="B276">
        <v>0</v>
      </c>
      <c r="C276">
        <v>0</v>
      </c>
      <c r="D276">
        <v>0</v>
      </c>
      <c r="E276">
        <v>1</v>
      </c>
      <c r="F276">
        <v>1</v>
      </c>
      <c r="G276">
        <v>1</v>
      </c>
      <c r="H276">
        <v>1</v>
      </c>
      <c r="I276">
        <v>0</v>
      </c>
      <c r="J276">
        <v>1</v>
      </c>
      <c r="K276">
        <v>1</v>
      </c>
      <c r="L276">
        <v>1</v>
      </c>
      <c r="M276">
        <v>0</v>
      </c>
      <c r="N276">
        <v>1</v>
      </c>
      <c r="O276">
        <v>1</v>
      </c>
      <c r="P276">
        <v>1</v>
      </c>
      <c r="Q276">
        <v>0</v>
      </c>
      <c r="R276">
        <v>0</v>
      </c>
      <c r="S276">
        <v>1</v>
      </c>
      <c r="T276">
        <v>1</v>
      </c>
      <c r="U276">
        <v>1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0.52443782631879821</v>
      </c>
      <c r="AE276">
        <v>1.2647578465889301E-2</v>
      </c>
      <c r="AF276">
        <f t="shared" si="8"/>
        <v>2.4116449712765418</v>
      </c>
      <c r="AG276" t="b">
        <f t="shared" si="9"/>
        <v>1</v>
      </c>
    </row>
    <row r="277" spans="1:33" x14ac:dyDescent="0.2">
      <c r="A277" s="4">
        <v>15</v>
      </c>
      <c r="B277">
        <v>0</v>
      </c>
      <c r="C277">
        <v>0</v>
      </c>
      <c r="D277">
        <v>0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0</v>
      </c>
      <c r="N277">
        <v>1</v>
      </c>
      <c r="O277">
        <v>1</v>
      </c>
      <c r="P277">
        <v>1</v>
      </c>
      <c r="Q277">
        <v>1</v>
      </c>
      <c r="R277">
        <v>0</v>
      </c>
      <c r="S277">
        <v>1</v>
      </c>
      <c r="T277">
        <v>1</v>
      </c>
      <c r="U277">
        <v>1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0.58560751448712522</v>
      </c>
      <c r="AE277">
        <v>5.0158482010055343E-2</v>
      </c>
      <c r="AF277">
        <f t="shared" si="8"/>
        <v>8.5652046411979725</v>
      </c>
      <c r="AG277" t="b">
        <f t="shared" si="9"/>
        <v>1</v>
      </c>
    </row>
    <row r="278" spans="1:33" x14ac:dyDescent="0.2">
      <c r="A278" s="4">
        <v>16</v>
      </c>
      <c r="B278">
        <v>0</v>
      </c>
      <c r="C278">
        <v>0</v>
      </c>
      <c r="D278">
        <v>0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0</v>
      </c>
      <c r="S278">
        <v>1</v>
      </c>
      <c r="T278">
        <v>1</v>
      </c>
      <c r="U278">
        <v>1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0.46548953757131678</v>
      </c>
      <c r="AE278">
        <v>7.9809867064142472E-3</v>
      </c>
      <c r="AF278">
        <f t="shared" si="8"/>
        <v>1.7145362166580371</v>
      </c>
      <c r="AG278" t="b">
        <f t="shared" si="9"/>
        <v>1</v>
      </c>
    </row>
    <row r="279" spans="1:33" x14ac:dyDescent="0.2">
      <c r="A279" s="4">
        <v>17</v>
      </c>
      <c r="B279">
        <v>0</v>
      </c>
      <c r="C279">
        <v>0</v>
      </c>
      <c r="D279">
        <v>0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0.60038047094926505</v>
      </c>
      <c r="AE279">
        <v>8.3627670827392201E-3</v>
      </c>
      <c r="AF279">
        <f t="shared" si="8"/>
        <v>1.3929112433515367</v>
      </c>
      <c r="AG279" t="b">
        <f t="shared" si="9"/>
        <v>1</v>
      </c>
    </row>
    <row r="280" spans="1:33" x14ac:dyDescent="0.2">
      <c r="A280" s="4">
        <v>19</v>
      </c>
      <c r="B280">
        <v>0</v>
      </c>
      <c r="C280">
        <v>0</v>
      </c>
      <c r="D280">
        <v>0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0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0</v>
      </c>
      <c r="U280">
        <v>0</v>
      </c>
      <c r="V280">
        <v>1</v>
      </c>
      <c r="W280">
        <v>1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0.1707845273051608</v>
      </c>
      <c r="AE280">
        <v>4.1372348498160526E-3</v>
      </c>
      <c r="AF280">
        <f t="shared" si="8"/>
        <v>2.4224880995358369</v>
      </c>
      <c r="AG280" t="b">
        <f t="shared" si="9"/>
        <v>1</v>
      </c>
    </row>
    <row r="281" spans="1:33" x14ac:dyDescent="0.2">
      <c r="A281" s="4">
        <v>20</v>
      </c>
      <c r="B281">
        <v>0</v>
      </c>
      <c r="C281">
        <v>0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0.60263422497734676</v>
      </c>
      <c r="AE281">
        <v>9.804417129259918E-3</v>
      </c>
      <c r="AF281">
        <f t="shared" si="8"/>
        <v>1.6269267032798327</v>
      </c>
      <c r="AG281" t="b">
        <f t="shared" si="9"/>
        <v>1</v>
      </c>
    </row>
    <row r="282" spans="1:33" x14ac:dyDescent="0.2">
      <c r="A282" s="4">
        <v>21</v>
      </c>
      <c r="B282">
        <v>0</v>
      </c>
      <c r="C282">
        <v>0</v>
      </c>
      <c r="D282">
        <v>0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0</v>
      </c>
      <c r="K282">
        <v>0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0.56664250739446853</v>
      </c>
      <c r="AE282">
        <v>5.7041708547224436E-3</v>
      </c>
      <c r="AF282">
        <f t="shared" si="8"/>
        <v>1.0066613041353569</v>
      </c>
      <c r="AG282" t="b">
        <f t="shared" si="9"/>
        <v>1</v>
      </c>
    </row>
    <row r="283" spans="1:33" x14ac:dyDescent="0.2">
      <c r="A283" s="4">
        <v>22</v>
      </c>
      <c r="B283">
        <v>0</v>
      </c>
      <c r="C283">
        <v>0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0.5542982037059212</v>
      </c>
      <c r="AE283">
        <v>1.0547354311653699E-2</v>
      </c>
      <c r="AF283">
        <f t="shared" si="8"/>
        <v>1.9028303251095364</v>
      </c>
      <c r="AG283" t="b">
        <f t="shared" si="9"/>
        <v>1</v>
      </c>
    </row>
    <row r="284" spans="1:33" x14ac:dyDescent="0.2">
      <c r="A284" s="4">
        <v>24</v>
      </c>
      <c r="B284">
        <v>0</v>
      </c>
      <c r="C284">
        <v>0</v>
      </c>
      <c r="D284">
        <v>0</v>
      </c>
      <c r="E284">
        <v>1</v>
      </c>
      <c r="F284">
        <v>1</v>
      </c>
      <c r="G284">
        <v>1</v>
      </c>
      <c r="H284">
        <v>1</v>
      </c>
      <c r="I284">
        <v>0</v>
      </c>
      <c r="J284">
        <v>1</v>
      </c>
      <c r="K284">
        <v>1</v>
      </c>
      <c r="L284">
        <v>1</v>
      </c>
      <c r="M284">
        <v>0</v>
      </c>
      <c r="N284">
        <v>1</v>
      </c>
      <c r="O284">
        <v>1</v>
      </c>
      <c r="P284">
        <v>1</v>
      </c>
      <c r="Q284">
        <v>0</v>
      </c>
      <c r="R284">
        <v>0</v>
      </c>
      <c r="S284">
        <v>1</v>
      </c>
      <c r="T284">
        <v>1</v>
      </c>
      <c r="U284">
        <v>1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0.47721762834852077</v>
      </c>
      <c r="AE284">
        <v>4.201472171908352E-2</v>
      </c>
      <c r="AF284">
        <f t="shared" si="8"/>
        <v>8.8041009433120525</v>
      </c>
      <c r="AG284" t="b">
        <f t="shared" si="9"/>
        <v>1</v>
      </c>
    </row>
    <row r="285" spans="1:33" x14ac:dyDescent="0.2">
      <c r="A285" s="4">
        <v>29</v>
      </c>
      <c r="B285">
        <v>0</v>
      </c>
      <c r="C285">
        <v>0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1</v>
      </c>
      <c r="K285">
        <v>1</v>
      </c>
      <c r="L285">
        <v>1</v>
      </c>
      <c r="M285">
        <v>0</v>
      </c>
      <c r="N285">
        <v>1</v>
      </c>
      <c r="O285">
        <v>1</v>
      </c>
      <c r="P285">
        <v>1</v>
      </c>
      <c r="Q285">
        <v>0</v>
      </c>
      <c r="R285">
        <v>0</v>
      </c>
      <c r="S285">
        <v>1</v>
      </c>
      <c r="T285">
        <v>1</v>
      </c>
      <c r="U285">
        <v>1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0.47688878290500009</v>
      </c>
      <c r="AE285">
        <v>8.0344778856528097E-3</v>
      </c>
      <c r="AF285">
        <f t="shared" si="8"/>
        <v>1.6847697353479878</v>
      </c>
      <c r="AG285" t="b">
        <f t="shared" si="9"/>
        <v>1</v>
      </c>
    </row>
    <row r="286" spans="1:33" x14ac:dyDescent="0.2">
      <c r="A286" s="4">
        <v>13</v>
      </c>
      <c r="B286">
        <v>0</v>
      </c>
      <c r="C286">
        <v>0</v>
      </c>
      <c r="D286">
        <v>0</v>
      </c>
      <c r="E286">
        <v>1</v>
      </c>
      <c r="F286">
        <v>1</v>
      </c>
      <c r="G286">
        <v>1</v>
      </c>
      <c r="H286">
        <v>1</v>
      </c>
      <c r="I286">
        <v>0</v>
      </c>
      <c r="J286">
        <v>1</v>
      </c>
      <c r="K286">
        <v>1</v>
      </c>
      <c r="L286">
        <v>1</v>
      </c>
      <c r="M286">
        <v>0</v>
      </c>
      <c r="N286">
        <v>1</v>
      </c>
      <c r="O286">
        <v>1</v>
      </c>
      <c r="P286">
        <v>0</v>
      </c>
      <c r="Q286">
        <v>0</v>
      </c>
      <c r="R286">
        <v>0</v>
      </c>
      <c r="S286">
        <v>1</v>
      </c>
      <c r="T286">
        <v>1</v>
      </c>
      <c r="U286">
        <v>1</v>
      </c>
      <c r="V286">
        <v>0</v>
      </c>
      <c r="W286">
        <v>0</v>
      </c>
      <c r="X286">
        <v>1</v>
      </c>
      <c r="Y286">
        <v>1</v>
      </c>
      <c r="Z286">
        <v>1</v>
      </c>
      <c r="AA286">
        <v>0</v>
      </c>
      <c r="AB286">
        <v>0</v>
      </c>
      <c r="AC286">
        <v>0</v>
      </c>
      <c r="AD286">
        <v>0.30035088832481011</v>
      </c>
      <c r="AE286">
        <v>1.1206178661602941E-3</v>
      </c>
      <c r="AF286">
        <f t="shared" si="8"/>
        <v>0.37310289721814244</v>
      </c>
      <c r="AG286" t="b">
        <f t="shared" si="9"/>
        <v>1</v>
      </c>
    </row>
    <row r="287" spans="1:33" x14ac:dyDescent="0.2">
      <c r="A287" s="4">
        <v>14</v>
      </c>
      <c r="B287">
        <v>0</v>
      </c>
      <c r="C287">
        <v>0</v>
      </c>
      <c r="D287">
        <v>0</v>
      </c>
      <c r="E287">
        <v>1</v>
      </c>
      <c r="F287">
        <v>1</v>
      </c>
      <c r="G287">
        <v>1</v>
      </c>
      <c r="H287">
        <v>1</v>
      </c>
      <c r="I287">
        <v>0</v>
      </c>
      <c r="J287">
        <v>1</v>
      </c>
      <c r="K287">
        <v>1</v>
      </c>
      <c r="L287">
        <v>1</v>
      </c>
      <c r="M287">
        <v>0</v>
      </c>
      <c r="N287">
        <v>1</v>
      </c>
      <c r="O287">
        <v>1</v>
      </c>
      <c r="P287">
        <v>1</v>
      </c>
      <c r="Q287">
        <v>0</v>
      </c>
      <c r="R287">
        <v>0</v>
      </c>
      <c r="S287">
        <v>1</v>
      </c>
      <c r="T287">
        <v>1</v>
      </c>
      <c r="U287">
        <v>1</v>
      </c>
      <c r="V287">
        <v>0</v>
      </c>
      <c r="W287">
        <v>0</v>
      </c>
      <c r="X287">
        <v>1</v>
      </c>
      <c r="Y287">
        <v>1</v>
      </c>
      <c r="Z287">
        <v>1</v>
      </c>
      <c r="AA287">
        <v>0</v>
      </c>
      <c r="AB287">
        <v>0</v>
      </c>
      <c r="AC287">
        <v>0</v>
      </c>
      <c r="AD287">
        <v>0.36984629833047228</v>
      </c>
      <c r="AE287">
        <v>7.2485518527023287E-3</v>
      </c>
      <c r="AF287">
        <f t="shared" si="8"/>
        <v>1.9598822228106934</v>
      </c>
      <c r="AG287" t="b">
        <f t="shared" si="9"/>
        <v>1</v>
      </c>
    </row>
    <row r="288" spans="1:33" x14ac:dyDescent="0.2">
      <c r="A288" s="4">
        <v>15</v>
      </c>
      <c r="B288">
        <v>0</v>
      </c>
      <c r="C288">
        <v>0</v>
      </c>
      <c r="D288">
        <v>0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0</v>
      </c>
      <c r="N288">
        <v>1</v>
      </c>
      <c r="O288">
        <v>1</v>
      </c>
      <c r="P288">
        <v>1</v>
      </c>
      <c r="Q288">
        <v>1</v>
      </c>
      <c r="R288">
        <v>0</v>
      </c>
      <c r="S288">
        <v>1</v>
      </c>
      <c r="T288">
        <v>1</v>
      </c>
      <c r="U288">
        <v>1</v>
      </c>
      <c r="V288">
        <v>0</v>
      </c>
      <c r="W288">
        <v>0</v>
      </c>
      <c r="X288">
        <v>1</v>
      </c>
      <c r="Y288">
        <v>1</v>
      </c>
      <c r="Z288">
        <v>1</v>
      </c>
      <c r="AA288">
        <v>0</v>
      </c>
      <c r="AB288">
        <v>0</v>
      </c>
      <c r="AC288">
        <v>0</v>
      </c>
      <c r="AD288">
        <v>0.54343500890418295</v>
      </c>
      <c r="AE288">
        <v>1.110437647602935E-2</v>
      </c>
      <c r="AF288">
        <f t="shared" si="8"/>
        <v>2.0433678901955403</v>
      </c>
      <c r="AG288" t="b">
        <f t="shared" si="9"/>
        <v>1</v>
      </c>
    </row>
    <row r="289" spans="1:33" x14ac:dyDescent="0.2">
      <c r="A289" s="4">
        <v>16</v>
      </c>
      <c r="B289">
        <v>0</v>
      </c>
      <c r="C289">
        <v>0</v>
      </c>
      <c r="D289">
        <v>0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0</v>
      </c>
      <c r="S289">
        <v>1</v>
      </c>
      <c r="T289">
        <v>1</v>
      </c>
      <c r="U289">
        <v>1</v>
      </c>
      <c r="V289">
        <v>0</v>
      </c>
      <c r="W289">
        <v>0</v>
      </c>
      <c r="X289">
        <v>1</v>
      </c>
      <c r="Y289">
        <v>1</v>
      </c>
      <c r="Z289">
        <v>1</v>
      </c>
      <c r="AA289">
        <v>0</v>
      </c>
      <c r="AB289">
        <v>0</v>
      </c>
      <c r="AC289">
        <v>0</v>
      </c>
      <c r="AD289">
        <v>0.51617338544320057</v>
      </c>
      <c r="AE289">
        <v>1.973387115321289E-2</v>
      </c>
      <c r="AF289">
        <f t="shared" si="8"/>
        <v>3.8231089997538032</v>
      </c>
      <c r="AG289" t="b">
        <f t="shared" si="9"/>
        <v>1</v>
      </c>
    </row>
    <row r="290" spans="1:33" x14ac:dyDescent="0.2">
      <c r="A290" s="4">
        <v>17</v>
      </c>
      <c r="B290">
        <v>0</v>
      </c>
      <c r="C290">
        <v>0</v>
      </c>
      <c r="D290">
        <v>0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0</v>
      </c>
      <c r="AB290">
        <v>0</v>
      </c>
      <c r="AC290">
        <v>0</v>
      </c>
      <c r="AD290">
        <v>0.46638163584106163</v>
      </c>
      <c r="AE290">
        <v>8.627212189699144E-3</v>
      </c>
      <c r="AF290">
        <f t="shared" si="8"/>
        <v>1.8498181589292282</v>
      </c>
      <c r="AG290" t="b">
        <f t="shared" si="9"/>
        <v>1</v>
      </c>
    </row>
    <row r="291" spans="1:33" x14ac:dyDescent="0.2">
      <c r="A291" s="4">
        <v>19</v>
      </c>
      <c r="B291">
        <v>0</v>
      </c>
      <c r="C291">
        <v>0</v>
      </c>
      <c r="D291">
        <v>0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0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0</v>
      </c>
      <c r="U291">
        <v>0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0</v>
      </c>
      <c r="AB291">
        <v>0</v>
      </c>
      <c r="AC291">
        <v>0</v>
      </c>
      <c r="AD291">
        <v>0.13529376045531091</v>
      </c>
      <c r="AE291">
        <v>3.475350910985729E-3</v>
      </c>
      <c r="AF291">
        <f t="shared" si="8"/>
        <v>2.5687444116343245</v>
      </c>
      <c r="AG291" t="b">
        <f t="shared" si="9"/>
        <v>1</v>
      </c>
    </row>
    <row r="292" spans="1:33" x14ac:dyDescent="0.2">
      <c r="A292" s="4">
        <v>20</v>
      </c>
      <c r="B292">
        <v>0</v>
      </c>
      <c r="C292">
        <v>0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0</v>
      </c>
      <c r="AB292">
        <v>0</v>
      </c>
      <c r="AC292">
        <v>0</v>
      </c>
      <c r="AD292">
        <v>0.44369822448293289</v>
      </c>
      <c r="AE292">
        <v>1.2000120284374071E-2</v>
      </c>
      <c r="AF292">
        <f t="shared" si="8"/>
        <v>2.7045680199325801</v>
      </c>
      <c r="AG292" t="b">
        <f t="shared" si="9"/>
        <v>1</v>
      </c>
    </row>
    <row r="293" spans="1:33" x14ac:dyDescent="0.2">
      <c r="A293" s="4">
        <v>21</v>
      </c>
      <c r="B293">
        <v>0</v>
      </c>
      <c r="C293">
        <v>0</v>
      </c>
      <c r="D293">
        <v>0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0</v>
      </c>
      <c r="K293">
        <v>0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0</v>
      </c>
      <c r="AB293">
        <v>0</v>
      </c>
      <c r="AC293">
        <v>0</v>
      </c>
      <c r="AD293">
        <v>0.3103873979250672</v>
      </c>
      <c r="AE293">
        <v>1.0859443940033501E-2</v>
      </c>
      <c r="AF293">
        <f t="shared" si="8"/>
        <v>3.4986742414893901</v>
      </c>
      <c r="AG293" t="b">
        <f t="shared" si="9"/>
        <v>1</v>
      </c>
    </row>
    <row r="294" spans="1:33" x14ac:dyDescent="0.2">
      <c r="A294" s="4">
        <v>22</v>
      </c>
      <c r="B294">
        <v>0</v>
      </c>
      <c r="C294">
        <v>0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0</v>
      </c>
      <c r="AB294">
        <v>0</v>
      </c>
      <c r="AC294">
        <v>0</v>
      </c>
      <c r="AD294">
        <v>0.36725700444894321</v>
      </c>
      <c r="AE294">
        <v>8.0383961106445054E-3</v>
      </c>
      <c r="AF294">
        <f t="shared" si="8"/>
        <v>2.1887659086872553</v>
      </c>
      <c r="AG294" t="b">
        <f t="shared" si="9"/>
        <v>1</v>
      </c>
    </row>
    <row r="295" spans="1:33" x14ac:dyDescent="0.2">
      <c r="A295" s="4">
        <v>23</v>
      </c>
      <c r="B295">
        <v>0</v>
      </c>
      <c r="C295">
        <v>0</v>
      </c>
      <c r="D295">
        <v>0</v>
      </c>
      <c r="E295">
        <v>1</v>
      </c>
      <c r="F295">
        <v>0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0</v>
      </c>
      <c r="O295">
        <v>0</v>
      </c>
      <c r="P295">
        <v>0</v>
      </c>
      <c r="Q295">
        <v>1</v>
      </c>
      <c r="R295">
        <v>1</v>
      </c>
      <c r="S295">
        <v>0</v>
      </c>
      <c r="T295">
        <v>1</v>
      </c>
      <c r="U295">
        <v>1</v>
      </c>
      <c r="V295">
        <v>1</v>
      </c>
      <c r="W295">
        <v>1</v>
      </c>
      <c r="X295">
        <v>0</v>
      </c>
      <c r="Y295">
        <v>1</v>
      </c>
      <c r="Z295">
        <v>1</v>
      </c>
      <c r="AA295">
        <v>0</v>
      </c>
      <c r="AB295">
        <v>0</v>
      </c>
      <c r="AC295">
        <v>0</v>
      </c>
      <c r="AD295">
        <v>0.15566755708845659</v>
      </c>
      <c r="AE295">
        <v>1.4879915179845561E-2</v>
      </c>
      <c r="AF295">
        <f t="shared" si="8"/>
        <v>9.558777344588373</v>
      </c>
      <c r="AG295" t="b">
        <f t="shared" si="9"/>
        <v>1</v>
      </c>
    </row>
    <row r="296" spans="1:33" x14ac:dyDescent="0.2">
      <c r="A296" s="4">
        <v>24</v>
      </c>
      <c r="B296">
        <v>0</v>
      </c>
      <c r="C296">
        <v>0</v>
      </c>
      <c r="D296">
        <v>0</v>
      </c>
      <c r="E296">
        <v>1</v>
      </c>
      <c r="F296">
        <v>1</v>
      </c>
      <c r="G296">
        <v>1</v>
      </c>
      <c r="H296">
        <v>1</v>
      </c>
      <c r="I296">
        <v>0</v>
      </c>
      <c r="J296">
        <v>1</v>
      </c>
      <c r="K296">
        <v>1</v>
      </c>
      <c r="L296">
        <v>1</v>
      </c>
      <c r="M296">
        <v>0</v>
      </c>
      <c r="N296">
        <v>1</v>
      </c>
      <c r="O296">
        <v>1</v>
      </c>
      <c r="P296">
        <v>1</v>
      </c>
      <c r="Q296">
        <v>0</v>
      </c>
      <c r="R296">
        <v>0</v>
      </c>
      <c r="S296">
        <v>1</v>
      </c>
      <c r="T296">
        <v>1</v>
      </c>
      <c r="U296">
        <v>1</v>
      </c>
      <c r="V296">
        <v>0</v>
      </c>
      <c r="W296">
        <v>0</v>
      </c>
      <c r="X296">
        <v>1</v>
      </c>
      <c r="Y296">
        <v>1</v>
      </c>
      <c r="Z296">
        <v>1</v>
      </c>
      <c r="AA296">
        <v>0</v>
      </c>
      <c r="AB296">
        <v>0</v>
      </c>
      <c r="AC296">
        <v>0</v>
      </c>
      <c r="AD296">
        <v>0.39393589536780532</v>
      </c>
      <c r="AE296">
        <v>9.0595488946717418E-3</v>
      </c>
      <c r="AF296">
        <f t="shared" si="8"/>
        <v>2.2997520665673616</v>
      </c>
      <c r="AG296" t="b">
        <f t="shared" si="9"/>
        <v>1</v>
      </c>
    </row>
    <row r="297" spans="1:33" x14ac:dyDescent="0.2">
      <c r="A297" s="4">
        <v>29</v>
      </c>
      <c r="B297">
        <v>0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1</v>
      </c>
      <c r="K297">
        <v>1</v>
      </c>
      <c r="L297">
        <v>1</v>
      </c>
      <c r="M297">
        <v>0</v>
      </c>
      <c r="N297">
        <v>1</v>
      </c>
      <c r="O297">
        <v>1</v>
      </c>
      <c r="P297">
        <v>1</v>
      </c>
      <c r="Q297">
        <v>0</v>
      </c>
      <c r="R297">
        <v>0</v>
      </c>
      <c r="S297">
        <v>1</v>
      </c>
      <c r="T297">
        <v>1</v>
      </c>
      <c r="U297">
        <v>1</v>
      </c>
      <c r="V297">
        <v>0</v>
      </c>
      <c r="W297">
        <v>0</v>
      </c>
      <c r="X297">
        <v>1</v>
      </c>
      <c r="Y297">
        <v>1</v>
      </c>
      <c r="Z297">
        <v>1</v>
      </c>
      <c r="AA297">
        <v>0</v>
      </c>
      <c r="AB297">
        <v>0</v>
      </c>
      <c r="AC297">
        <v>0</v>
      </c>
      <c r="AD297">
        <v>0.39481252147366219</v>
      </c>
      <c r="AE297">
        <v>1.842754707235621E-2</v>
      </c>
      <c r="AF297">
        <f t="shared" si="8"/>
        <v>4.6674170828154713</v>
      </c>
      <c r="AG297" t="b">
        <f t="shared" si="9"/>
        <v>1</v>
      </c>
    </row>
    <row r="298" spans="1:33" x14ac:dyDescent="0.2">
      <c r="A298" s="4">
        <v>13</v>
      </c>
      <c r="B298">
        <v>0</v>
      </c>
      <c r="C298">
        <v>0</v>
      </c>
      <c r="D298">
        <v>0</v>
      </c>
      <c r="E298">
        <v>1</v>
      </c>
      <c r="F298">
        <v>1</v>
      </c>
      <c r="G298">
        <v>1</v>
      </c>
      <c r="H298">
        <v>1</v>
      </c>
      <c r="I298">
        <v>0</v>
      </c>
      <c r="J298">
        <v>1</v>
      </c>
      <c r="K298">
        <v>1</v>
      </c>
      <c r="L298">
        <v>1</v>
      </c>
      <c r="M298">
        <v>0</v>
      </c>
      <c r="N298">
        <v>1</v>
      </c>
      <c r="O298">
        <v>1</v>
      </c>
      <c r="P298">
        <v>0</v>
      </c>
      <c r="Q298">
        <v>0</v>
      </c>
      <c r="R298">
        <v>0</v>
      </c>
      <c r="S298">
        <v>1</v>
      </c>
      <c r="T298">
        <v>1</v>
      </c>
      <c r="U298">
        <v>1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1</v>
      </c>
      <c r="AB298">
        <v>1</v>
      </c>
      <c r="AC298">
        <v>1</v>
      </c>
      <c r="AD298">
        <v>0.47977594970724841</v>
      </c>
      <c r="AE298">
        <v>1.258393900823975E-2</v>
      </c>
      <c r="AF298">
        <f t="shared" si="8"/>
        <v>2.622878244713656</v>
      </c>
      <c r="AG298" t="b">
        <f t="shared" si="9"/>
        <v>1</v>
      </c>
    </row>
    <row r="299" spans="1:33" x14ac:dyDescent="0.2">
      <c r="A299" s="4">
        <v>14</v>
      </c>
      <c r="B299">
        <v>0</v>
      </c>
      <c r="C299">
        <v>0</v>
      </c>
      <c r="D299">
        <v>0</v>
      </c>
      <c r="E299">
        <v>1</v>
      </c>
      <c r="F299">
        <v>1</v>
      </c>
      <c r="G299">
        <v>1</v>
      </c>
      <c r="H299">
        <v>1</v>
      </c>
      <c r="I299">
        <v>0</v>
      </c>
      <c r="J299">
        <v>1</v>
      </c>
      <c r="K299">
        <v>1</v>
      </c>
      <c r="L299">
        <v>1</v>
      </c>
      <c r="M299">
        <v>0</v>
      </c>
      <c r="N299">
        <v>1</v>
      </c>
      <c r="O299">
        <v>1</v>
      </c>
      <c r="P299">
        <v>1</v>
      </c>
      <c r="Q299">
        <v>0</v>
      </c>
      <c r="R299">
        <v>0</v>
      </c>
      <c r="S299">
        <v>1</v>
      </c>
      <c r="T299">
        <v>1</v>
      </c>
      <c r="U299">
        <v>1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1</v>
      </c>
      <c r="AB299">
        <v>1</v>
      </c>
      <c r="AC299">
        <v>1</v>
      </c>
      <c r="AD299">
        <v>0.4655157805641138</v>
      </c>
      <c r="AE299">
        <v>5.0139398197657338E-3</v>
      </c>
      <c r="AF299">
        <f t="shared" si="8"/>
        <v>1.0770719337784473</v>
      </c>
      <c r="AG299" t="b">
        <f t="shared" si="9"/>
        <v>1</v>
      </c>
    </row>
    <row r="300" spans="1:33" x14ac:dyDescent="0.2">
      <c r="A300" s="4">
        <v>15</v>
      </c>
      <c r="B300">
        <v>0</v>
      </c>
      <c r="C300">
        <v>0</v>
      </c>
      <c r="D300">
        <v>0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0</v>
      </c>
      <c r="N300">
        <v>1</v>
      </c>
      <c r="O300">
        <v>1</v>
      </c>
      <c r="P300">
        <v>1</v>
      </c>
      <c r="Q300">
        <v>1</v>
      </c>
      <c r="R300">
        <v>0</v>
      </c>
      <c r="S300">
        <v>1</v>
      </c>
      <c r="T300">
        <v>1</v>
      </c>
      <c r="U300">
        <v>1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1</v>
      </c>
      <c r="AB300">
        <v>1</v>
      </c>
      <c r="AC300">
        <v>1</v>
      </c>
      <c r="AD300">
        <v>0.57846570163285538</v>
      </c>
      <c r="AE300">
        <v>6.3275101071999483E-3</v>
      </c>
      <c r="AF300">
        <f t="shared" si="8"/>
        <v>1.093843608936375</v>
      </c>
      <c r="AG300" t="b">
        <f t="shared" si="9"/>
        <v>1</v>
      </c>
    </row>
    <row r="301" spans="1:33" x14ac:dyDescent="0.2">
      <c r="A301" s="4">
        <v>16</v>
      </c>
      <c r="B301">
        <v>0</v>
      </c>
      <c r="C301">
        <v>0</v>
      </c>
      <c r="D301">
        <v>0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0</v>
      </c>
      <c r="S301">
        <v>1</v>
      </c>
      <c r="T301">
        <v>1</v>
      </c>
      <c r="U301">
        <v>1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1</v>
      </c>
      <c r="AB301">
        <v>1</v>
      </c>
      <c r="AC301">
        <v>1</v>
      </c>
      <c r="AD301">
        <v>0.55852320953099566</v>
      </c>
      <c r="AE301">
        <v>1.1378822275583371E-2</v>
      </c>
      <c r="AF301">
        <f t="shared" si="8"/>
        <v>2.0373051793386385</v>
      </c>
      <c r="AG301" t="b">
        <f t="shared" si="9"/>
        <v>1</v>
      </c>
    </row>
    <row r="302" spans="1:33" x14ac:dyDescent="0.2">
      <c r="A302" s="4">
        <v>17</v>
      </c>
      <c r="B302">
        <v>0</v>
      </c>
      <c r="C302">
        <v>0</v>
      </c>
      <c r="D302">
        <v>0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0</v>
      </c>
      <c r="Z302">
        <v>0</v>
      </c>
      <c r="AA302">
        <v>1</v>
      </c>
      <c r="AB302">
        <v>1</v>
      </c>
      <c r="AC302">
        <v>1</v>
      </c>
      <c r="AD302">
        <v>0.81330836884138269</v>
      </c>
      <c r="AE302">
        <v>1.023626291855686E-2</v>
      </c>
      <c r="AF302">
        <f t="shared" si="8"/>
        <v>1.2585955476075041</v>
      </c>
      <c r="AG302" t="b">
        <f t="shared" si="9"/>
        <v>1</v>
      </c>
    </row>
    <row r="303" spans="1:33" x14ac:dyDescent="0.2">
      <c r="A303" s="4">
        <v>19</v>
      </c>
      <c r="B303">
        <v>0</v>
      </c>
      <c r="C303">
        <v>0</v>
      </c>
      <c r="D303">
        <v>0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0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0</v>
      </c>
      <c r="U303">
        <v>0</v>
      </c>
      <c r="V303">
        <v>1</v>
      </c>
      <c r="W303">
        <v>1</v>
      </c>
      <c r="X303">
        <v>1</v>
      </c>
      <c r="Y303">
        <v>0</v>
      </c>
      <c r="Z303">
        <v>0</v>
      </c>
      <c r="AA303">
        <v>1</v>
      </c>
      <c r="AB303">
        <v>1</v>
      </c>
      <c r="AC303">
        <v>1</v>
      </c>
      <c r="AD303">
        <v>0.17180131922216341</v>
      </c>
      <c r="AE303">
        <v>1.380503741031845E-2</v>
      </c>
      <c r="AF303">
        <f t="shared" si="8"/>
        <v>8.0354664753572607</v>
      </c>
      <c r="AG303" t="b">
        <f t="shared" si="9"/>
        <v>1</v>
      </c>
    </row>
    <row r="304" spans="1:33" x14ac:dyDescent="0.2">
      <c r="A304" s="4">
        <v>20</v>
      </c>
      <c r="B304">
        <v>0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0</v>
      </c>
      <c r="Z304">
        <v>0</v>
      </c>
      <c r="AA304">
        <v>1</v>
      </c>
      <c r="AB304">
        <v>1</v>
      </c>
      <c r="AC304">
        <v>1</v>
      </c>
      <c r="AD304">
        <v>0.69145664497104142</v>
      </c>
      <c r="AE304">
        <v>2.7814237008842599E-2</v>
      </c>
      <c r="AF304">
        <f t="shared" si="8"/>
        <v>4.0225569037676214</v>
      </c>
      <c r="AG304" t="b">
        <f t="shared" si="9"/>
        <v>1</v>
      </c>
    </row>
    <row r="305" spans="1:33" x14ac:dyDescent="0.2">
      <c r="A305" s="4">
        <v>21</v>
      </c>
      <c r="B305">
        <v>0</v>
      </c>
      <c r="C305">
        <v>0</v>
      </c>
      <c r="D305">
        <v>0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0</v>
      </c>
      <c r="K305">
        <v>0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0</v>
      </c>
      <c r="Z305">
        <v>0</v>
      </c>
      <c r="AA305">
        <v>1</v>
      </c>
      <c r="AB305">
        <v>1</v>
      </c>
      <c r="AC305">
        <v>1</v>
      </c>
      <c r="AD305">
        <v>0.76205001072318856</v>
      </c>
      <c r="AE305">
        <v>1.673274890556356E-2</v>
      </c>
      <c r="AF305">
        <f t="shared" si="8"/>
        <v>2.1957546972126032</v>
      </c>
      <c r="AG305" t="b">
        <f t="shared" si="9"/>
        <v>1</v>
      </c>
    </row>
    <row r="306" spans="1:33" x14ac:dyDescent="0.2">
      <c r="A306" s="4">
        <v>22</v>
      </c>
      <c r="B306">
        <v>0</v>
      </c>
      <c r="C306">
        <v>0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0</v>
      </c>
      <c r="Z306">
        <v>0</v>
      </c>
      <c r="AA306">
        <v>1</v>
      </c>
      <c r="AB306">
        <v>1</v>
      </c>
      <c r="AC306">
        <v>1</v>
      </c>
      <c r="AD306">
        <v>0.71226230429648552</v>
      </c>
      <c r="AE306">
        <v>1.8364956486012898E-2</v>
      </c>
      <c r="AF306">
        <f t="shared" si="8"/>
        <v>2.5783979266110819</v>
      </c>
      <c r="AG306" t="b">
        <f t="shared" si="9"/>
        <v>1</v>
      </c>
    </row>
    <row r="307" spans="1:33" x14ac:dyDescent="0.2">
      <c r="A307" s="4">
        <v>23</v>
      </c>
      <c r="B307">
        <v>0</v>
      </c>
      <c r="C307">
        <v>0</v>
      </c>
      <c r="D307">
        <v>0</v>
      </c>
      <c r="E307">
        <v>1</v>
      </c>
      <c r="F307">
        <v>0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0</v>
      </c>
      <c r="O307">
        <v>0</v>
      </c>
      <c r="P307">
        <v>0</v>
      </c>
      <c r="Q307">
        <v>1</v>
      </c>
      <c r="R307">
        <v>1</v>
      </c>
      <c r="S307">
        <v>0</v>
      </c>
      <c r="T307">
        <v>1</v>
      </c>
      <c r="U307">
        <v>1</v>
      </c>
      <c r="V307">
        <v>1</v>
      </c>
      <c r="W307">
        <v>1</v>
      </c>
      <c r="X307">
        <v>0</v>
      </c>
      <c r="Y307">
        <v>0</v>
      </c>
      <c r="Z307">
        <v>0</v>
      </c>
      <c r="AA307">
        <v>1</v>
      </c>
      <c r="AB307">
        <v>1</v>
      </c>
      <c r="AC307">
        <v>1</v>
      </c>
      <c r="AD307">
        <v>0.19622108314961689</v>
      </c>
      <c r="AE307">
        <v>3.616756545709547E-3</v>
      </c>
      <c r="AF307">
        <f t="shared" si="8"/>
        <v>1.8432048624213337</v>
      </c>
      <c r="AG307" t="b">
        <f t="shared" si="9"/>
        <v>1</v>
      </c>
    </row>
    <row r="308" spans="1:33" x14ac:dyDescent="0.2">
      <c r="A308" s="4">
        <v>24</v>
      </c>
      <c r="B308">
        <v>0</v>
      </c>
      <c r="C308">
        <v>0</v>
      </c>
      <c r="D308">
        <v>0</v>
      </c>
      <c r="E308">
        <v>1</v>
      </c>
      <c r="F308">
        <v>1</v>
      </c>
      <c r="G308">
        <v>1</v>
      </c>
      <c r="H308">
        <v>1</v>
      </c>
      <c r="I308">
        <v>0</v>
      </c>
      <c r="J308">
        <v>1</v>
      </c>
      <c r="K308">
        <v>1</v>
      </c>
      <c r="L308">
        <v>1</v>
      </c>
      <c r="M308">
        <v>0</v>
      </c>
      <c r="N308">
        <v>1</v>
      </c>
      <c r="O308">
        <v>1</v>
      </c>
      <c r="P308">
        <v>1</v>
      </c>
      <c r="Q308">
        <v>0</v>
      </c>
      <c r="R308">
        <v>0</v>
      </c>
      <c r="S308">
        <v>1</v>
      </c>
      <c r="T308">
        <v>1</v>
      </c>
      <c r="U308">
        <v>1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1</v>
      </c>
      <c r="AB308">
        <v>1</v>
      </c>
      <c r="AC308">
        <v>1</v>
      </c>
      <c r="AD308">
        <v>0.46073089002007372</v>
      </c>
      <c r="AE308">
        <v>2.188307664439396E-2</v>
      </c>
      <c r="AF308">
        <f t="shared" si="8"/>
        <v>4.749643906758787</v>
      </c>
      <c r="AG308" t="b">
        <f t="shared" si="9"/>
        <v>1</v>
      </c>
    </row>
    <row r="309" spans="1:33" x14ac:dyDescent="0.2">
      <c r="A309" s="4">
        <v>27</v>
      </c>
      <c r="B309">
        <v>0</v>
      </c>
      <c r="C309">
        <v>0</v>
      </c>
      <c r="D309">
        <v>0</v>
      </c>
      <c r="E309">
        <v>1</v>
      </c>
      <c r="F309">
        <v>1</v>
      </c>
      <c r="G309">
        <v>1</v>
      </c>
      <c r="H309">
        <v>1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1</v>
      </c>
      <c r="O309">
        <v>1</v>
      </c>
      <c r="P309">
        <v>1</v>
      </c>
      <c r="Q309">
        <v>0</v>
      </c>
      <c r="R309">
        <v>0</v>
      </c>
      <c r="S309">
        <v>1</v>
      </c>
      <c r="T309">
        <v>1</v>
      </c>
      <c r="U309">
        <v>1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1</v>
      </c>
      <c r="AB309">
        <v>1</v>
      </c>
      <c r="AC309">
        <v>1</v>
      </c>
      <c r="AD309">
        <v>0.41984825177542912</v>
      </c>
      <c r="AE309">
        <v>3.5082964863473211E-3</v>
      </c>
      <c r="AF309">
        <f t="shared" si="8"/>
        <v>0.83561059776041635</v>
      </c>
      <c r="AG309" t="b">
        <f t="shared" si="9"/>
        <v>1</v>
      </c>
    </row>
    <row r="310" spans="1:33" x14ac:dyDescent="0.2">
      <c r="A310" s="4">
        <v>29</v>
      </c>
      <c r="B310">
        <v>0</v>
      </c>
      <c r="C310">
        <v>0</v>
      </c>
      <c r="D310">
        <v>0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1</v>
      </c>
      <c r="K310">
        <v>1</v>
      </c>
      <c r="L310">
        <v>1</v>
      </c>
      <c r="M310">
        <v>0</v>
      </c>
      <c r="N310">
        <v>1</v>
      </c>
      <c r="O310">
        <v>1</v>
      </c>
      <c r="P310">
        <v>1</v>
      </c>
      <c r="Q310">
        <v>0</v>
      </c>
      <c r="R310">
        <v>0</v>
      </c>
      <c r="S310">
        <v>1</v>
      </c>
      <c r="T310">
        <v>1</v>
      </c>
      <c r="U310">
        <v>1</v>
      </c>
      <c r="V310">
        <v>0</v>
      </c>
      <c r="W310">
        <v>0</v>
      </c>
      <c r="X310">
        <v>1</v>
      </c>
      <c r="Y310">
        <v>0</v>
      </c>
      <c r="Z310">
        <v>0</v>
      </c>
      <c r="AA310">
        <v>1</v>
      </c>
      <c r="AB310">
        <v>1</v>
      </c>
      <c r="AC310">
        <v>1</v>
      </c>
      <c r="AD310">
        <v>0.40266273861100338</v>
      </c>
      <c r="AE310">
        <v>2.1756858074113549E-2</v>
      </c>
      <c r="AF310">
        <f t="shared" si="8"/>
        <v>5.4032459395583636</v>
      </c>
      <c r="AG310" t="b">
        <f t="shared" si="9"/>
        <v>1</v>
      </c>
    </row>
    <row r="311" spans="1:33" x14ac:dyDescent="0.2">
      <c r="A311" s="4">
        <v>12</v>
      </c>
      <c r="B311">
        <v>0</v>
      </c>
      <c r="C311">
        <v>0</v>
      </c>
      <c r="D311">
        <v>0</v>
      </c>
      <c r="E311">
        <v>1</v>
      </c>
      <c r="F311">
        <v>1</v>
      </c>
      <c r="G311">
        <v>1</v>
      </c>
      <c r="H311">
        <v>1</v>
      </c>
      <c r="I311">
        <v>0</v>
      </c>
      <c r="J311">
        <v>1</v>
      </c>
      <c r="K311">
        <v>1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1</v>
      </c>
      <c r="U311">
        <v>1</v>
      </c>
      <c r="V311">
        <v>0</v>
      </c>
      <c r="W311">
        <v>0</v>
      </c>
      <c r="X311">
        <v>0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0.20786819242448551</v>
      </c>
      <c r="AE311">
        <v>1.313104471388063E-2</v>
      </c>
      <c r="AF311">
        <f t="shared" si="8"/>
        <v>6.3170052910576411</v>
      </c>
      <c r="AG311" t="b">
        <f t="shared" si="9"/>
        <v>1</v>
      </c>
    </row>
    <row r="312" spans="1:33" x14ac:dyDescent="0.2">
      <c r="A312" s="4">
        <v>13</v>
      </c>
      <c r="B312">
        <v>0</v>
      </c>
      <c r="C312">
        <v>0</v>
      </c>
      <c r="D312">
        <v>0</v>
      </c>
      <c r="E312">
        <v>1</v>
      </c>
      <c r="F312">
        <v>1</v>
      </c>
      <c r="G312">
        <v>1</v>
      </c>
      <c r="H312">
        <v>1</v>
      </c>
      <c r="I312">
        <v>0</v>
      </c>
      <c r="J312">
        <v>1</v>
      </c>
      <c r="K312">
        <v>1</v>
      </c>
      <c r="L312">
        <v>1</v>
      </c>
      <c r="M312">
        <v>0</v>
      </c>
      <c r="N312">
        <v>1</v>
      </c>
      <c r="O312">
        <v>1</v>
      </c>
      <c r="P312">
        <v>0</v>
      </c>
      <c r="Q312">
        <v>0</v>
      </c>
      <c r="R312">
        <v>0</v>
      </c>
      <c r="S312">
        <v>1</v>
      </c>
      <c r="T312">
        <v>1</v>
      </c>
      <c r="U312">
        <v>1</v>
      </c>
      <c r="V312">
        <v>0</v>
      </c>
      <c r="W312">
        <v>0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0.42919323539179388</v>
      </c>
      <c r="AE312">
        <v>2.0954857652002341E-2</v>
      </c>
      <c r="AF312">
        <f t="shared" si="8"/>
        <v>4.8823830209890113</v>
      </c>
      <c r="AG312" t="b">
        <f t="shared" si="9"/>
        <v>1</v>
      </c>
    </row>
    <row r="313" spans="1:33" x14ac:dyDescent="0.2">
      <c r="A313" s="4">
        <v>14</v>
      </c>
      <c r="B313">
        <v>0</v>
      </c>
      <c r="C313">
        <v>0</v>
      </c>
      <c r="D313">
        <v>0</v>
      </c>
      <c r="E313">
        <v>1</v>
      </c>
      <c r="F313">
        <v>1</v>
      </c>
      <c r="G313">
        <v>1</v>
      </c>
      <c r="H313">
        <v>1</v>
      </c>
      <c r="I313">
        <v>0</v>
      </c>
      <c r="J313">
        <v>1</v>
      </c>
      <c r="K313">
        <v>1</v>
      </c>
      <c r="L313">
        <v>1</v>
      </c>
      <c r="M313">
        <v>0</v>
      </c>
      <c r="N313">
        <v>1</v>
      </c>
      <c r="O313">
        <v>1</v>
      </c>
      <c r="P313">
        <v>1</v>
      </c>
      <c r="Q313">
        <v>0</v>
      </c>
      <c r="R313">
        <v>0</v>
      </c>
      <c r="S313">
        <v>1</v>
      </c>
      <c r="T313">
        <v>1</v>
      </c>
      <c r="U313">
        <v>1</v>
      </c>
      <c r="V313">
        <v>0</v>
      </c>
      <c r="W313">
        <v>0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0.49347407392068898</v>
      </c>
      <c r="AE313">
        <v>1.521925594576529E-2</v>
      </c>
      <c r="AF313">
        <f t="shared" si="8"/>
        <v>3.0841044646676465</v>
      </c>
      <c r="AG313" t="b">
        <f t="shared" si="9"/>
        <v>1</v>
      </c>
    </row>
    <row r="314" spans="1:33" x14ac:dyDescent="0.2">
      <c r="A314" s="4">
        <v>15</v>
      </c>
      <c r="B314">
        <v>0</v>
      </c>
      <c r="C314">
        <v>0</v>
      </c>
      <c r="D314">
        <v>0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0</v>
      </c>
      <c r="N314">
        <v>1</v>
      </c>
      <c r="O314">
        <v>1</v>
      </c>
      <c r="P314">
        <v>1</v>
      </c>
      <c r="Q314">
        <v>1</v>
      </c>
      <c r="R314">
        <v>0</v>
      </c>
      <c r="S314">
        <v>1</v>
      </c>
      <c r="T314">
        <v>1</v>
      </c>
      <c r="U314">
        <v>1</v>
      </c>
      <c r="V314">
        <v>0</v>
      </c>
      <c r="W314">
        <v>0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0.62686091912652586</v>
      </c>
      <c r="AE314">
        <v>2.804833040549526E-3</v>
      </c>
      <c r="AF314">
        <f t="shared" si="8"/>
        <v>0.4474410439332871</v>
      </c>
      <c r="AG314" t="b">
        <f t="shared" si="9"/>
        <v>1</v>
      </c>
    </row>
    <row r="315" spans="1:33" x14ac:dyDescent="0.2">
      <c r="A315" s="4">
        <v>16</v>
      </c>
      <c r="B315">
        <v>0</v>
      </c>
      <c r="C315">
        <v>0</v>
      </c>
      <c r="D315">
        <v>0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0</v>
      </c>
      <c r="S315">
        <v>1</v>
      </c>
      <c r="T315">
        <v>1</v>
      </c>
      <c r="U315">
        <v>1</v>
      </c>
      <c r="V315">
        <v>0</v>
      </c>
      <c r="W315">
        <v>0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0.65714837569503282</v>
      </c>
      <c r="AE315">
        <v>1.9011686932792531E-2</v>
      </c>
      <c r="AF315">
        <f t="shared" si="8"/>
        <v>2.8930584988032306</v>
      </c>
      <c r="AG315" t="b">
        <f t="shared" si="9"/>
        <v>1</v>
      </c>
    </row>
    <row r="316" spans="1:33" x14ac:dyDescent="0.2">
      <c r="A316" s="4">
        <v>17</v>
      </c>
      <c r="B316">
        <v>0</v>
      </c>
      <c r="C316">
        <v>0</v>
      </c>
      <c r="D316">
        <v>0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0.77871748268501362</v>
      </c>
      <c r="AE316">
        <v>5.1291143990755753E-2</v>
      </c>
      <c r="AF316">
        <f t="shared" si="8"/>
        <v>6.586617756917974</v>
      </c>
      <c r="AG316" t="b">
        <f t="shared" si="9"/>
        <v>1</v>
      </c>
    </row>
    <row r="317" spans="1:33" x14ac:dyDescent="0.2">
      <c r="A317" s="4">
        <v>19</v>
      </c>
      <c r="B317">
        <v>0</v>
      </c>
      <c r="C317">
        <v>0</v>
      </c>
      <c r="D317">
        <v>0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0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0</v>
      </c>
      <c r="U317">
        <v>0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0.1670206821999288</v>
      </c>
      <c r="AE317">
        <v>1.400625161751482E-2</v>
      </c>
      <c r="AF317">
        <f t="shared" si="8"/>
        <v>8.3859384556631813</v>
      </c>
      <c r="AG317" t="b">
        <f t="shared" si="9"/>
        <v>1</v>
      </c>
    </row>
    <row r="318" spans="1:33" x14ac:dyDescent="0.2">
      <c r="A318" s="4">
        <v>20</v>
      </c>
      <c r="B318">
        <v>0</v>
      </c>
      <c r="C318">
        <v>0</v>
      </c>
      <c r="D318">
        <v>0</v>
      </c>
      <c r="E318">
        <v>0</v>
      </c>
      <c r="F318">
        <v>1</v>
      </c>
      <c r="G318">
        <v>0</v>
      </c>
      <c r="H318">
        <v>0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0.74740788428599125</v>
      </c>
      <c r="AE318">
        <v>3.2692385847942502E-3</v>
      </c>
      <c r="AF318">
        <f t="shared" si="8"/>
        <v>0.43741023523151584</v>
      </c>
      <c r="AG318" t="b">
        <f t="shared" si="9"/>
        <v>1</v>
      </c>
    </row>
    <row r="319" spans="1:33" x14ac:dyDescent="0.2">
      <c r="A319" s="4">
        <v>21</v>
      </c>
      <c r="B319">
        <v>0</v>
      </c>
      <c r="C319">
        <v>0</v>
      </c>
      <c r="D319">
        <v>0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0</v>
      </c>
      <c r="K319">
        <v>0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0.67527920298395439</v>
      </c>
      <c r="AE319">
        <v>1.4008520091643909E-2</v>
      </c>
      <c r="AF319">
        <f t="shared" si="8"/>
        <v>2.0744782350385478</v>
      </c>
      <c r="AG319" t="b">
        <f t="shared" si="9"/>
        <v>1</v>
      </c>
    </row>
    <row r="320" spans="1:33" x14ac:dyDescent="0.2">
      <c r="A320" s="4">
        <v>22</v>
      </c>
      <c r="B320">
        <v>0</v>
      </c>
      <c r="C320">
        <v>0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0.58709926990594508</v>
      </c>
      <c r="AE320">
        <v>2.8869069467000959E-2</v>
      </c>
      <c r="AF320">
        <f t="shared" si="8"/>
        <v>4.9172381821605509</v>
      </c>
      <c r="AG320" t="b">
        <f t="shared" si="9"/>
        <v>1</v>
      </c>
    </row>
    <row r="321" spans="1:33" x14ac:dyDescent="0.2">
      <c r="A321" s="4">
        <v>24</v>
      </c>
      <c r="B321">
        <v>0</v>
      </c>
      <c r="C321">
        <v>0</v>
      </c>
      <c r="D321">
        <v>0</v>
      </c>
      <c r="E321">
        <v>1</v>
      </c>
      <c r="F321">
        <v>1</v>
      </c>
      <c r="G321">
        <v>1</v>
      </c>
      <c r="H321">
        <v>1</v>
      </c>
      <c r="I321">
        <v>0</v>
      </c>
      <c r="J321">
        <v>1</v>
      </c>
      <c r="K321">
        <v>1</v>
      </c>
      <c r="L321">
        <v>1</v>
      </c>
      <c r="M321">
        <v>0</v>
      </c>
      <c r="N321">
        <v>1</v>
      </c>
      <c r="O321">
        <v>1</v>
      </c>
      <c r="P321">
        <v>1</v>
      </c>
      <c r="Q321">
        <v>0</v>
      </c>
      <c r="R321">
        <v>0</v>
      </c>
      <c r="S321">
        <v>1</v>
      </c>
      <c r="T321">
        <v>1</v>
      </c>
      <c r="U321">
        <v>1</v>
      </c>
      <c r="V321">
        <v>0</v>
      </c>
      <c r="W321">
        <v>0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0.48413488316112108</v>
      </c>
      <c r="AE321">
        <v>2.5512211445419659E-2</v>
      </c>
      <c r="AF321">
        <f t="shared" si="8"/>
        <v>5.269649499089935</v>
      </c>
      <c r="AG321" t="b">
        <f t="shared" si="9"/>
        <v>1</v>
      </c>
    </row>
    <row r="322" spans="1:33" x14ac:dyDescent="0.2">
      <c r="A322" s="4">
        <v>25</v>
      </c>
      <c r="B322">
        <v>0</v>
      </c>
      <c r="C322">
        <v>0</v>
      </c>
      <c r="D322">
        <v>0</v>
      </c>
      <c r="E322">
        <v>1</v>
      </c>
      <c r="F322">
        <v>1</v>
      </c>
      <c r="G322">
        <v>1</v>
      </c>
      <c r="H322">
        <v>1</v>
      </c>
      <c r="I322">
        <v>0</v>
      </c>
      <c r="J322">
        <v>1</v>
      </c>
      <c r="K322">
        <v>1</v>
      </c>
      <c r="L322">
        <v>0</v>
      </c>
      <c r="M322">
        <v>0</v>
      </c>
      <c r="N322">
        <v>1</v>
      </c>
      <c r="O322">
        <v>1</v>
      </c>
      <c r="P322">
        <v>1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0.16440567203609069</v>
      </c>
      <c r="AE322">
        <v>3.4522846019748011E-3</v>
      </c>
      <c r="AF322">
        <f t="shared" ref="AF322:AF346" si="10">100*AE322/AD322</f>
        <v>2.0998573584595963</v>
      </c>
      <c r="AG322" t="b">
        <f t="shared" ref="AG322:AG346" si="11">(AF322&lt;15)</f>
        <v>1</v>
      </c>
    </row>
    <row r="323" spans="1:33" x14ac:dyDescent="0.2">
      <c r="A323" s="4">
        <v>26</v>
      </c>
      <c r="B323">
        <v>0</v>
      </c>
      <c r="C323">
        <v>0</v>
      </c>
      <c r="D323">
        <v>0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1</v>
      </c>
      <c r="R323">
        <v>1</v>
      </c>
      <c r="S323">
        <v>0</v>
      </c>
      <c r="T323">
        <v>0</v>
      </c>
      <c r="U323">
        <v>0</v>
      </c>
      <c r="V323">
        <v>1</v>
      </c>
      <c r="W323">
        <v>1</v>
      </c>
      <c r="X323">
        <v>0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0.34776726625166787</v>
      </c>
      <c r="AE323">
        <v>3.8374144128932218E-2</v>
      </c>
      <c r="AF323">
        <f t="shared" si="10"/>
        <v>11.034432464716819</v>
      </c>
      <c r="AG323" t="b">
        <f t="shared" si="11"/>
        <v>1</v>
      </c>
    </row>
    <row r="324" spans="1:33" x14ac:dyDescent="0.2">
      <c r="A324" s="4">
        <v>27</v>
      </c>
      <c r="B324">
        <v>0</v>
      </c>
      <c r="C324">
        <v>0</v>
      </c>
      <c r="D324">
        <v>0</v>
      </c>
      <c r="E324">
        <v>1</v>
      </c>
      <c r="F324">
        <v>1</v>
      </c>
      <c r="G324">
        <v>1</v>
      </c>
      <c r="H324">
        <v>1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1</v>
      </c>
      <c r="O324">
        <v>1</v>
      </c>
      <c r="P324">
        <v>1</v>
      </c>
      <c r="Q324">
        <v>0</v>
      </c>
      <c r="R324">
        <v>0</v>
      </c>
      <c r="S324">
        <v>1</v>
      </c>
      <c r="T324">
        <v>1</v>
      </c>
      <c r="U324">
        <v>1</v>
      </c>
      <c r="V324">
        <v>0</v>
      </c>
      <c r="W324">
        <v>0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0.34231517561598018</v>
      </c>
      <c r="AE324">
        <v>3.6814286787609743E-2</v>
      </c>
      <c r="AF324">
        <f t="shared" si="10"/>
        <v>10.754500358146306</v>
      </c>
      <c r="AG324" t="b">
        <f t="shared" si="11"/>
        <v>1</v>
      </c>
    </row>
    <row r="325" spans="1:33" x14ac:dyDescent="0.2">
      <c r="A325" s="4">
        <v>29</v>
      </c>
      <c r="B325">
        <v>0</v>
      </c>
      <c r="C325">
        <v>0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1</v>
      </c>
      <c r="K325">
        <v>1</v>
      </c>
      <c r="L325">
        <v>1</v>
      </c>
      <c r="M325">
        <v>0</v>
      </c>
      <c r="N325">
        <v>1</v>
      </c>
      <c r="O325">
        <v>1</v>
      </c>
      <c r="P325">
        <v>1</v>
      </c>
      <c r="Q325">
        <v>0</v>
      </c>
      <c r="R325">
        <v>0</v>
      </c>
      <c r="S325">
        <v>1</v>
      </c>
      <c r="T325">
        <v>1</v>
      </c>
      <c r="U325">
        <v>1</v>
      </c>
      <c r="V325">
        <v>0</v>
      </c>
      <c r="W325">
        <v>0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0.52889411249703611</v>
      </c>
      <c r="AE325">
        <v>3.1846371835477387E-2</v>
      </c>
      <c r="AF325">
        <f t="shared" si="10"/>
        <v>6.0213133561126284</v>
      </c>
      <c r="AG325" t="b">
        <f t="shared" si="11"/>
        <v>1</v>
      </c>
    </row>
    <row r="326" spans="1:33" x14ac:dyDescent="0.2">
      <c r="A326" s="4">
        <v>2</v>
      </c>
      <c r="B326">
        <v>0</v>
      </c>
      <c r="C326">
        <v>0</v>
      </c>
      <c r="D326">
        <v>0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0.78223662920016324</v>
      </c>
      <c r="AE326">
        <v>9.3034962368885987E-3</v>
      </c>
      <c r="AF326">
        <f t="shared" si="10"/>
        <v>1.1893455112683002</v>
      </c>
      <c r="AG326" t="b">
        <f t="shared" si="11"/>
        <v>1</v>
      </c>
    </row>
    <row r="327" spans="1:33" x14ac:dyDescent="0.2">
      <c r="A327" s="4">
        <v>9</v>
      </c>
      <c r="B327">
        <v>0</v>
      </c>
      <c r="C327">
        <v>0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0.49629986191398201</v>
      </c>
      <c r="AE327">
        <v>3.3438196625859958E-2</v>
      </c>
      <c r="AF327">
        <f t="shared" si="10"/>
        <v>6.7374986760837379</v>
      </c>
      <c r="AG327" t="b">
        <f t="shared" si="11"/>
        <v>1</v>
      </c>
    </row>
    <row r="328" spans="1:33" x14ac:dyDescent="0.2">
      <c r="A328" s="4">
        <v>10</v>
      </c>
      <c r="B328">
        <v>0</v>
      </c>
      <c r="C328">
        <v>0</v>
      </c>
      <c r="D328">
        <v>0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0.6528123478539728</v>
      </c>
      <c r="AE328">
        <v>2.91196517647366E-2</v>
      </c>
      <c r="AF328">
        <f t="shared" si="10"/>
        <v>4.460646594762383</v>
      </c>
      <c r="AG328" t="b">
        <f t="shared" si="11"/>
        <v>1</v>
      </c>
    </row>
    <row r="329" spans="1:33" x14ac:dyDescent="0.2">
      <c r="A329" s="4">
        <v>11</v>
      </c>
      <c r="B329">
        <v>0</v>
      </c>
      <c r="C329">
        <v>0</v>
      </c>
      <c r="D329">
        <v>0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0</v>
      </c>
      <c r="AB329">
        <v>0</v>
      </c>
      <c r="AC329">
        <v>0</v>
      </c>
      <c r="AD329">
        <v>0.66137627734945992</v>
      </c>
      <c r="AE329">
        <v>7.2431368016445397E-2</v>
      </c>
      <c r="AF329">
        <f t="shared" si="10"/>
        <v>10.951612644276006</v>
      </c>
      <c r="AG329" t="b">
        <f t="shared" si="11"/>
        <v>1</v>
      </c>
    </row>
    <row r="330" spans="1:33" x14ac:dyDescent="0.2">
      <c r="A330" s="4">
        <v>12</v>
      </c>
      <c r="B330">
        <v>0</v>
      </c>
      <c r="C330">
        <v>0</v>
      </c>
      <c r="D330">
        <v>0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0</v>
      </c>
      <c r="Z330">
        <v>0</v>
      </c>
      <c r="AA330">
        <v>1</v>
      </c>
      <c r="AB330">
        <v>1</v>
      </c>
      <c r="AC330">
        <v>1</v>
      </c>
      <c r="AD330">
        <v>0.82658575029055692</v>
      </c>
      <c r="AE330">
        <v>2.2076973359183471E-2</v>
      </c>
      <c r="AF330">
        <f t="shared" si="10"/>
        <v>2.6708630473514807</v>
      </c>
      <c r="AG330" t="b">
        <f t="shared" si="11"/>
        <v>1</v>
      </c>
    </row>
    <row r="331" spans="1:33" x14ac:dyDescent="0.2">
      <c r="A331" s="4">
        <v>19</v>
      </c>
      <c r="B331">
        <v>0</v>
      </c>
      <c r="C331">
        <v>0</v>
      </c>
      <c r="D331">
        <v>0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0.27311003195332723</v>
      </c>
      <c r="AE331">
        <v>1.42262375708025E-2</v>
      </c>
      <c r="AF331">
        <f t="shared" si="10"/>
        <v>5.208976568547901</v>
      </c>
      <c r="AG331" t="b">
        <f t="shared" si="11"/>
        <v>1</v>
      </c>
    </row>
    <row r="332" spans="1:33" x14ac:dyDescent="0.2">
      <c r="A332" s="4" t="s">
        <v>40</v>
      </c>
      <c r="B332">
        <v>0</v>
      </c>
      <c r="C332">
        <v>0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0</v>
      </c>
      <c r="S332">
        <v>1</v>
      </c>
      <c r="T332">
        <v>1</v>
      </c>
      <c r="U332">
        <v>1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0.63415557421889723</v>
      </c>
      <c r="AE332">
        <v>4.4098474870327309E-2</v>
      </c>
      <c r="AF332">
        <f t="shared" si="10"/>
        <v>6.9538890239424811</v>
      </c>
      <c r="AG332" t="b">
        <f t="shared" si="11"/>
        <v>1</v>
      </c>
    </row>
    <row r="333" spans="1:33" x14ac:dyDescent="0.2">
      <c r="A333" s="4" t="s">
        <v>41</v>
      </c>
      <c r="B333">
        <v>0</v>
      </c>
      <c r="C333">
        <v>0</v>
      </c>
      <c r="D333">
        <v>0</v>
      </c>
      <c r="E333">
        <v>0</v>
      </c>
      <c r="F333">
        <v>1</v>
      </c>
      <c r="G333">
        <v>0</v>
      </c>
      <c r="H333">
        <v>0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0.57683114225461551</v>
      </c>
      <c r="AE333">
        <v>3.108238889732878E-2</v>
      </c>
      <c r="AF333">
        <f t="shared" si="10"/>
        <v>5.3884727471265572</v>
      </c>
      <c r="AG333" t="b">
        <f t="shared" si="11"/>
        <v>1</v>
      </c>
    </row>
    <row r="334" spans="1:33" x14ac:dyDescent="0.2">
      <c r="A334" s="4" t="s">
        <v>42</v>
      </c>
      <c r="B334">
        <v>0</v>
      </c>
      <c r="C334">
        <v>0</v>
      </c>
      <c r="D334">
        <v>0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0.64227703040792017</v>
      </c>
      <c r="AE334">
        <v>2.431038332635806E-2</v>
      </c>
      <c r="AF334">
        <f t="shared" si="10"/>
        <v>3.7850307850676455</v>
      </c>
      <c r="AG334" t="b">
        <f t="shared" si="11"/>
        <v>1</v>
      </c>
    </row>
    <row r="335" spans="1:33" x14ac:dyDescent="0.2">
      <c r="A335" s="4" t="s">
        <v>48</v>
      </c>
      <c r="B335">
        <v>0</v>
      </c>
      <c r="C335">
        <v>0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0.67214316801596774</v>
      </c>
      <c r="AE335">
        <v>4.2318236150067509E-2</v>
      </c>
      <c r="AF335">
        <f t="shared" si="10"/>
        <v>6.2960152187490772</v>
      </c>
      <c r="AG335" t="b">
        <f t="shared" si="11"/>
        <v>1</v>
      </c>
    </row>
    <row r="336" spans="1:33" x14ac:dyDescent="0.2">
      <c r="A336" s="4" t="s">
        <v>53</v>
      </c>
      <c r="B336">
        <v>0</v>
      </c>
      <c r="C336">
        <v>0</v>
      </c>
      <c r="D336">
        <v>0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0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0</v>
      </c>
      <c r="U336">
        <v>0</v>
      </c>
      <c r="V336">
        <v>1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0.13623766961494449</v>
      </c>
      <c r="AE336">
        <v>6.1253211419660131E-3</v>
      </c>
      <c r="AF336">
        <f t="shared" si="10"/>
        <v>4.4960554296607702</v>
      </c>
      <c r="AG336" t="b">
        <f t="shared" si="11"/>
        <v>1</v>
      </c>
    </row>
    <row r="337" spans="1:34" x14ac:dyDescent="0.2">
      <c r="A337" s="4" t="s">
        <v>54</v>
      </c>
      <c r="B337">
        <v>0</v>
      </c>
      <c r="C337">
        <v>0</v>
      </c>
      <c r="D337">
        <v>0</v>
      </c>
      <c r="E337">
        <v>0</v>
      </c>
      <c r="F337">
        <v>1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1</v>
      </c>
      <c r="M337">
        <v>0</v>
      </c>
      <c r="N337">
        <v>1</v>
      </c>
      <c r="O337">
        <v>1</v>
      </c>
      <c r="P337">
        <v>0</v>
      </c>
      <c r="Q337">
        <v>1</v>
      </c>
      <c r="R337">
        <v>0</v>
      </c>
      <c r="S337">
        <v>1</v>
      </c>
      <c r="T337">
        <v>1</v>
      </c>
      <c r="U337">
        <v>1</v>
      </c>
      <c r="V337">
        <v>0</v>
      </c>
      <c r="W337">
        <v>0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0.62437432797528725</v>
      </c>
      <c r="AE337">
        <v>1.8611389843146049E-2</v>
      </c>
      <c r="AF337">
        <f t="shared" si="10"/>
        <v>2.9808063863706273</v>
      </c>
      <c r="AG337" t="b">
        <f t="shared" si="11"/>
        <v>1</v>
      </c>
    </row>
    <row r="338" spans="1:34" x14ac:dyDescent="0.2">
      <c r="A338" s="4" t="s">
        <v>57</v>
      </c>
      <c r="B338">
        <v>0</v>
      </c>
      <c r="C338">
        <v>0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0.65383154458860615</v>
      </c>
      <c r="AE338">
        <v>2.5764353798636081E-2</v>
      </c>
      <c r="AF338">
        <f t="shared" si="10"/>
        <v>3.9405186262230791</v>
      </c>
      <c r="AG338" t="b">
        <f t="shared" si="11"/>
        <v>1</v>
      </c>
    </row>
    <row r="339" spans="1:34" x14ac:dyDescent="0.2">
      <c r="A339" s="4" t="s">
        <v>58</v>
      </c>
      <c r="B339">
        <v>0</v>
      </c>
      <c r="C339">
        <v>0</v>
      </c>
      <c r="D339">
        <v>0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0.55966386404371926</v>
      </c>
      <c r="AE339">
        <v>1.7873134893304929E-2</v>
      </c>
      <c r="AF339">
        <f t="shared" si="10"/>
        <v>3.1935481351550568</v>
      </c>
      <c r="AG339" t="b">
        <f t="shared" si="11"/>
        <v>1</v>
      </c>
    </row>
    <row r="340" spans="1:34" x14ac:dyDescent="0.2">
      <c r="A340" s="4" t="s">
        <v>59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0</v>
      </c>
      <c r="O340">
        <v>0</v>
      </c>
      <c r="P340">
        <v>1</v>
      </c>
      <c r="Q340">
        <v>1</v>
      </c>
      <c r="R340">
        <v>1</v>
      </c>
      <c r="S340">
        <v>0</v>
      </c>
      <c r="T340">
        <v>1</v>
      </c>
      <c r="U340">
        <v>1</v>
      </c>
      <c r="V340">
        <v>1</v>
      </c>
      <c r="W340">
        <v>1</v>
      </c>
      <c r="X340">
        <v>0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0.24079649550767129</v>
      </c>
      <c r="AE340">
        <v>1.752340028688552E-2</v>
      </c>
      <c r="AF340">
        <f t="shared" si="10"/>
        <v>7.2772654975484308</v>
      </c>
      <c r="AG340" t="b">
        <f t="shared" si="11"/>
        <v>1</v>
      </c>
    </row>
    <row r="341" spans="1:34" x14ac:dyDescent="0.2">
      <c r="A341" s="4" t="s">
        <v>64</v>
      </c>
      <c r="B341">
        <v>0</v>
      </c>
      <c r="C341">
        <v>0</v>
      </c>
      <c r="D341">
        <v>0</v>
      </c>
      <c r="E341">
        <v>1</v>
      </c>
      <c r="F341">
        <v>0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0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0.48956498819966932</v>
      </c>
      <c r="AE341">
        <v>3.2320943971148812E-2</v>
      </c>
      <c r="AF341">
        <f t="shared" si="10"/>
        <v>6.6019721079332365</v>
      </c>
      <c r="AG341" t="b">
        <f t="shared" si="11"/>
        <v>1</v>
      </c>
    </row>
    <row r="342" spans="1:34" x14ac:dyDescent="0.2">
      <c r="A342" s="4" t="s">
        <v>65</v>
      </c>
      <c r="B342">
        <v>0</v>
      </c>
      <c r="C342">
        <v>0</v>
      </c>
      <c r="D342">
        <v>0</v>
      </c>
      <c r="E342">
        <v>1</v>
      </c>
      <c r="F342">
        <v>0</v>
      </c>
      <c r="G342">
        <v>1</v>
      </c>
      <c r="H342">
        <v>1</v>
      </c>
      <c r="I342">
        <v>0</v>
      </c>
      <c r="J342">
        <v>1</v>
      </c>
      <c r="K342">
        <v>1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8.4458622385350957E-2</v>
      </c>
      <c r="AE342">
        <v>5.1345086589084481E-3</v>
      </c>
      <c r="AF342">
        <f t="shared" si="10"/>
        <v>6.0793185040145881</v>
      </c>
      <c r="AG342" t="b">
        <f t="shared" si="11"/>
        <v>1</v>
      </c>
    </row>
    <row r="343" spans="1:34" x14ac:dyDescent="0.2">
      <c r="A343" s="4" t="s">
        <v>66</v>
      </c>
      <c r="B343">
        <v>0</v>
      </c>
      <c r="C343">
        <v>0</v>
      </c>
      <c r="D343">
        <v>0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1</v>
      </c>
      <c r="K343">
        <v>1</v>
      </c>
      <c r="L343">
        <v>1</v>
      </c>
      <c r="M343">
        <v>0</v>
      </c>
      <c r="N343">
        <v>1</v>
      </c>
      <c r="O343">
        <v>1</v>
      </c>
      <c r="P343">
        <v>0</v>
      </c>
      <c r="Q343">
        <v>0</v>
      </c>
      <c r="R343">
        <v>0</v>
      </c>
      <c r="S343">
        <v>1</v>
      </c>
      <c r="T343">
        <v>1</v>
      </c>
      <c r="U343">
        <v>1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0.64234369335159602</v>
      </c>
      <c r="AE343">
        <v>6.6835276886838241E-2</v>
      </c>
      <c r="AF343">
        <f t="shared" si="10"/>
        <v>10.404909019672587</v>
      </c>
      <c r="AG343" t="b">
        <f t="shared" si="11"/>
        <v>1</v>
      </c>
    </row>
    <row r="344" spans="1:34" x14ac:dyDescent="0.2">
      <c r="A344" s="4" t="s">
        <v>67</v>
      </c>
      <c r="B344">
        <v>0</v>
      </c>
      <c r="C344">
        <v>0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1</v>
      </c>
      <c r="K344">
        <v>1</v>
      </c>
      <c r="L344">
        <v>1</v>
      </c>
      <c r="M344">
        <v>0</v>
      </c>
      <c r="N344">
        <v>1</v>
      </c>
      <c r="O344">
        <v>1</v>
      </c>
      <c r="P344">
        <v>0</v>
      </c>
      <c r="Q344">
        <v>0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0.70204597811353231</v>
      </c>
      <c r="AE344">
        <v>4.3776319021094613E-2</v>
      </c>
      <c r="AF344">
        <f t="shared" si="10"/>
        <v>6.2355344786285869</v>
      </c>
      <c r="AG344" t="b">
        <f t="shared" si="11"/>
        <v>1</v>
      </c>
    </row>
    <row r="345" spans="1:34" x14ac:dyDescent="0.2">
      <c r="A345" s="4" t="s">
        <v>69</v>
      </c>
      <c r="B345">
        <v>0</v>
      </c>
      <c r="C345">
        <v>0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1</v>
      </c>
      <c r="K345">
        <v>1</v>
      </c>
      <c r="L345">
        <v>1</v>
      </c>
      <c r="M345">
        <v>0</v>
      </c>
      <c r="N345">
        <v>1</v>
      </c>
      <c r="O345">
        <v>1</v>
      </c>
      <c r="P345">
        <v>0</v>
      </c>
      <c r="Q345">
        <v>0</v>
      </c>
      <c r="R345">
        <v>0</v>
      </c>
      <c r="S345">
        <v>1</v>
      </c>
      <c r="T345">
        <v>1</v>
      </c>
      <c r="U345">
        <v>1</v>
      </c>
      <c r="V345">
        <v>0</v>
      </c>
      <c r="W345">
        <v>0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0.44535841238372359</v>
      </c>
      <c r="AE345">
        <v>3.564509227167733E-2</v>
      </c>
      <c r="AF345">
        <f t="shared" si="10"/>
        <v>8.0036867566712306</v>
      </c>
      <c r="AG345" t="b">
        <f t="shared" si="11"/>
        <v>1</v>
      </c>
      <c r="AH345" t="s">
        <v>85</v>
      </c>
    </row>
    <row r="346" spans="1:34" x14ac:dyDescent="0.2">
      <c r="A346" s="4" t="s">
        <v>70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0</v>
      </c>
      <c r="O346">
        <v>0</v>
      </c>
      <c r="P346">
        <v>1</v>
      </c>
      <c r="Q346">
        <v>1</v>
      </c>
      <c r="R346">
        <v>0</v>
      </c>
      <c r="S346">
        <v>0</v>
      </c>
      <c r="T346">
        <v>1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7.4563506311372332E-2</v>
      </c>
      <c r="AE346">
        <v>1.5037073205719309E-3</v>
      </c>
      <c r="AF346">
        <f t="shared" si="10"/>
        <v>2.0166800020006401</v>
      </c>
      <c r="AG346" t="b">
        <f t="shared" si="11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81"/>
  <sheetViews>
    <sheetView workbookViewId="0">
      <selection activeCell="B1" sqref="B1:AI1048576"/>
    </sheetView>
  </sheetViews>
  <sheetFormatPr baseColWidth="10" defaultColWidth="8.6640625" defaultRowHeight="15" x14ac:dyDescent="0.2"/>
  <cols>
    <col min="6" max="30" width="0" hidden="1" customWidth="1"/>
    <col min="37" max="37" width="16.83203125" bestFit="1" customWidth="1"/>
  </cols>
  <sheetData>
    <row r="1" spans="1:37" x14ac:dyDescent="0.2">
      <c r="B1" s="5" t="s">
        <v>366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</row>
    <row r="2" spans="1:37" x14ac:dyDescent="0.2">
      <c r="A2" s="5">
        <v>0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0.48833074579750868</v>
      </c>
      <c r="AF2">
        <v>1.294272130234661E-2</v>
      </c>
      <c r="AG2">
        <v>2.6504006585146378</v>
      </c>
      <c r="AH2" t="b">
        <v>1</v>
      </c>
      <c r="AJ2">
        <v>1</v>
      </c>
      <c r="AK2" t="s">
        <v>86</v>
      </c>
    </row>
    <row r="3" spans="1:37" x14ac:dyDescent="0.2">
      <c r="A3" s="5">
        <v>1</v>
      </c>
      <c r="B3">
        <v>2</v>
      </c>
      <c r="C3">
        <v>1</v>
      </c>
      <c r="D3">
        <v>0</v>
      </c>
      <c r="E3">
        <v>0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1.046107859519753</v>
      </c>
      <c r="AF3">
        <v>0.13564968058771079</v>
      </c>
      <c r="AG3">
        <v>12.96708359021266</v>
      </c>
      <c r="AH3" t="b">
        <v>1</v>
      </c>
      <c r="AJ3">
        <v>1</v>
      </c>
      <c r="AK3" t="s">
        <v>87</v>
      </c>
    </row>
    <row r="4" spans="1:37" x14ac:dyDescent="0.2">
      <c r="A4" s="5">
        <v>2</v>
      </c>
      <c r="B4">
        <v>3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0.50426770864142212</v>
      </c>
      <c r="AF4">
        <v>2.036184534790964E-3</v>
      </c>
      <c r="AG4">
        <v>0.40379038750602753</v>
      </c>
      <c r="AH4" t="b">
        <v>1</v>
      </c>
      <c r="AJ4">
        <v>1</v>
      </c>
      <c r="AK4" t="s">
        <v>88</v>
      </c>
    </row>
    <row r="5" spans="1:37" x14ac:dyDescent="0.2">
      <c r="A5" s="5">
        <v>4</v>
      </c>
      <c r="B5">
        <v>5</v>
      </c>
      <c r="C5">
        <v>1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0.51014969327298154</v>
      </c>
      <c r="AF5">
        <v>2.5993188017183928E-2</v>
      </c>
      <c r="AG5">
        <v>5.0952080065791492</v>
      </c>
      <c r="AH5" t="b">
        <v>1</v>
      </c>
      <c r="AJ5">
        <v>1</v>
      </c>
      <c r="AK5" t="s">
        <v>90</v>
      </c>
    </row>
    <row r="6" spans="1:37" x14ac:dyDescent="0.2">
      <c r="A6" s="5">
        <v>6</v>
      </c>
      <c r="B6">
        <v>7</v>
      </c>
      <c r="C6">
        <v>1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1</v>
      </c>
      <c r="O6">
        <v>1</v>
      </c>
      <c r="P6">
        <v>1</v>
      </c>
      <c r="Q6">
        <v>1</v>
      </c>
      <c r="R6">
        <v>1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0.61398404002864582</v>
      </c>
      <c r="AF6">
        <v>7.9847201489404197E-3</v>
      </c>
      <c r="AG6">
        <v>1.3004768248646801</v>
      </c>
      <c r="AH6" t="b">
        <v>1</v>
      </c>
      <c r="AJ6">
        <v>1</v>
      </c>
      <c r="AK6" t="s">
        <v>92</v>
      </c>
    </row>
    <row r="7" spans="1:37" x14ac:dyDescent="0.2">
      <c r="A7" s="5">
        <v>7</v>
      </c>
      <c r="B7">
        <v>8</v>
      </c>
      <c r="C7">
        <v>1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  <c r="W7">
        <v>1</v>
      </c>
      <c r="X7">
        <v>1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0.70099104932274758</v>
      </c>
      <c r="AF7">
        <v>8.3358417933041972E-4</v>
      </c>
      <c r="AG7">
        <v>0.1189150960109655</v>
      </c>
      <c r="AH7" t="b">
        <v>1</v>
      </c>
      <c r="AJ7">
        <v>3</v>
      </c>
      <c r="AK7" s="6" t="s">
        <v>93</v>
      </c>
    </row>
    <row r="8" spans="1:37" x14ac:dyDescent="0.2">
      <c r="A8" s="5">
        <v>10</v>
      </c>
      <c r="B8">
        <v>11</v>
      </c>
      <c r="C8">
        <v>1</v>
      </c>
      <c r="D8">
        <v>0</v>
      </c>
      <c r="E8">
        <v>0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0</v>
      </c>
      <c r="AC8">
        <v>0</v>
      </c>
      <c r="AD8">
        <v>0</v>
      </c>
      <c r="AE8">
        <v>0.8090858421189342</v>
      </c>
      <c r="AF8">
        <v>7.450924975955997E-2</v>
      </c>
      <c r="AG8">
        <v>9.2090660694823097</v>
      </c>
      <c r="AH8" t="b">
        <v>1</v>
      </c>
      <c r="AJ8">
        <v>1</v>
      </c>
      <c r="AK8" t="s">
        <v>96</v>
      </c>
    </row>
    <row r="9" spans="1:37" x14ac:dyDescent="0.2">
      <c r="A9" s="5">
        <v>11</v>
      </c>
      <c r="B9">
        <v>12</v>
      </c>
      <c r="C9">
        <v>1</v>
      </c>
      <c r="D9">
        <v>0</v>
      </c>
      <c r="E9">
        <v>0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0</v>
      </c>
      <c r="AA9">
        <v>0</v>
      </c>
      <c r="AB9">
        <v>1</v>
      </c>
      <c r="AC9">
        <v>1</v>
      </c>
      <c r="AD9">
        <v>1</v>
      </c>
      <c r="AE9">
        <v>0.99257634240671322</v>
      </c>
      <c r="AF9">
        <v>9.9051471933741999E-3</v>
      </c>
      <c r="AG9">
        <v>0.99792295767971417</v>
      </c>
      <c r="AH9" t="b">
        <v>1</v>
      </c>
      <c r="AJ9">
        <v>1</v>
      </c>
      <c r="AK9" t="s">
        <v>97</v>
      </c>
    </row>
    <row r="10" spans="1:37" x14ac:dyDescent="0.2">
      <c r="A10" s="5">
        <v>13</v>
      </c>
      <c r="B10">
        <v>14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1</v>
      </c>
      <c r="AD10">
        <v>1</v>
      </c>
      <c r="AE10">
        <v>0.66220015113446673</v>
      </c>
      <c r="AF10">
        <v>1.279854830003236E-2</v>
      </c>
      <c r="AG10">
        <v>1.932731105256646</v>
      </c>
      <c r="AH10" t="b">
        <v>1</v>
      </c>
      <c r="AJ10">
        <v>1</v>
      </c>
      <c r="AK10" t="s">
        <v>99</v>
      </c>
    </row>
    <row r="11" spans="1:37" x14ac:dyDescent="0.2">
      <c r="A11" s="5">
        <v>14</v>
      </c>
      <c r="B11">
        <v>15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0.61553955184225317</v>
      </c>
      <c r="AF11">
        <v>7.6625200412675551E-2</v>
      </c>
      <c r="AG11">
        <v>12.448460896354</v>
      </c>
      <c r="AH11" t="b">
        <v>1</v>
      </c>
      <c r="AJ11">
        <v>1</v>
      </c>
      <c r="AK11" t="s">
        <v>100</v>
      </c>
    </row>
    <row r="12" spans="1:37" x14ac:dyDescent="0.2">
      <c r="A12" s="5">
        <v>17</v>
      </c>
      <c r="B12">
        <v>18</v>
      </c>
      <c r="C12">
        <v>1</v>
      </c>
      <c r="D12">
        <v>0</v>
      </c>
      <c r="E12">
        <v>0</v>
      </c>
      <c r="F12">
        <v>1</v>
      </c>
      <c r="G12">
        <v>0</v>
      </c>
      <c r="H12">
        <v>1</v>
      </c>
      <c r="I12">
        <v>1</v>
      </c>
      <c r="J12">
        <v>0</v>
      </c>
      <c r="K12">
        <v>1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1</v>
      </c>
      <c r="V12">
        <v>1</v>
      </c>
      <c r="W12">
        <v>1</v>
      </c>
      <c r="X12">
        <v>1</v>
      </c>
      <c r="Y12">
        <v>0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0.64984438748385964</v>
      </c>
      <c r="AF12">
        <v>2.0821699580131181E-3</v>
      </c>
      <c r="AG12">
        <v>0.32041054721963469</v>
      </c>
      <c r="AH12" t="b">
        <v>1</v>
      </c>
      <c r="AJ12">
        <v>2</v>
      </c>
      <c r="AK12" s="6" t="s">
        <v>103</v>
      </c>
    </row>
    <row r="13" spans="1:37" x14ac:dyDescent="0.2">
      <c r="A13" s="5">
        <v>18</v>
      </c>
      <c r="B13">
        <v>19</v>
      </c>
      <c r="C13">
        <v>1</v>
      </c>
      <c r="D13">
        <v>0</v>
      </c>
      <c r="E13">
        <v>0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0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0.78046175667533335</v>
      </c>
      <c r="AF13">
        <v>2.6038343250464141E-2</v>
      </c>
      <c r="AG13">
        <v>3.3362740746432129</v>
      </c>
      <c r="AH13" t="b">
        <v>1</v>
      </c>
      <c r="AJ13">
        <v>1</v>
      </c>
      <c r="AK13" t="s">
        <v>104</v>
      </c>
    </row>
    <row r="14" spans="1:37" x14ac:dyDescent="0.2">
      <c r="A14" s="5">
        <v>19</v>
      </c>
      <c r="B14">
        <v>11</v>
      </c>
      <c r="C14">
        <v>1</v>
      </c>
      <c r="D14">
        <v>0</v>
      </c>
      <c r="E14">
        <v>0</v>
      </c>
      <c r="F14">
        <v>1</v>
      </c>
      <c r="G14">
        <v>0</v>
      </c>
      <c r="H14">
        <v>1</v>
      </c>
      <c r="I14">
        <v>1</v>
      </c>
      <c r="J14">
        <v>0</v>
      </c>
      <c r="K14">
        <v>1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0.56668748806397828</v>
      </c>
      <c r="AF14">
        <v>4.4452682561833979E-3</v>
      </c>
      <c r="AG14">
        <v>0.78443028120669089</v>
      </c>
      <c r="AH14" t="b">
        <v>1</v>
      </c>
      <c r="AJ14">
        <v>2</v>
      </c>
      <c r="AK14" s="6" t="s">
        <v>105</v>
      </c>
    </row>
    <row r="15" spans="1:37" x14ac:dyDescent="0.2">
      <c r="A15" s="5">
        <v>20</v>
      </c>
      <c r="B15">
        <v>12</v>
      </c>
      <c r="C15">
        <v>1</v>
      </c>
      <c r="D15">
        <v>0</v>
      </c>
      <c r="E15">
        <v>0</v>
      </c>
      <c r="F15">
        <v>1</v>
      </c>
      <c r="G15">
        <v>1</v>
      </c>
      <c r="H15">
        <v>1</v>
      </c>
      <c r="I15">
        <v>1</v>
      </c>
      <c r="J15">
        <v>0</v>
      </c>
      <c r="K15">
        <v>1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1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0.61833377633816888</v>
      </c>
      <c r="AF15">
        <v>7.2754748017715212E-3</v>
      </c>
      <c r="AG15">
        <v>1.176625809584197</v>
      </c>
      <c r="AH15" t="b">
        <v>1</v>
      </c>
      <c r="AJ15">
        <v>1</v>
      </c>
      <c r="AK15" t="s">
        <v>106</v>
      </c>
    </row>
    <row r="16" spans="1:37" x14ac:dyDescent="0.2">
      <c r="A16" s="5">
        <v>21</v>
      </c>
      <c r="B16">
        <v>13</v>
      </c>
      <c r="C16">
        <v>1</v>
      </c>
      <c r="D16">
        <v>0</v>
      </c>
      <c r="E16">
        <v>0</v>
      </c>
      <c r="F16">
        <v>1</v>
      </c>
      <c r="G16">
        <v>1</v>
      </c>
      <c r="H16">
        <v>1</v>
      </c>
      <c r="I16">
        <v>1</v>
      </c>
      <c r="J16">
        <v>0</v>
      </c>
      <c r="K16">
        <v>1</v>
      </c>
      <c r="L16">
        <v>1</v>
      </c>
      <c r="M16">
        <v>1</v>
      </c>
      <c r="N16">
        <v>0</v>
      </c>
      <c r="O16">
        <v>1</v>
      </c>
      <c r="P16">
        <v>1</v>
      </c>
      <c r="Q16">
        <v>0</v>
      </c>
      <c r="R16">
        <v>0</v>
      </c>
      <c r="S16">
        <v>0</v>
      </c>
      <c r="T16">
        <v>1</v>
      </c>
      <c r="U16">
        <v>1</v>
      </c>
      <c r="V16">
        <v>1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0.69283823321435922</v>
      </c>
      <c r="AF16">
        <v>7.7279653570898983E-3</v>
      </c>
      <c r="AG16">
        <v>1.1154068852748951</v>
      </c>
      <c r="AH16" t="b">
        <v>1</v>
      </c>
      <c r="AJ16">
        <v>1</v>
      </c>
      <c r="AK16" t="s">
        <v>107</v>
      </c>
    </row>
    <row r="17" spans="1:37" x14ac:dyDescent="0.2">
      <c r="A17" s="5">
        <v>22</v>
      </c>
      <c r="B17">
        <v>14</v>
      </c>
      <c r="C17">
        <v>1</v>
      </c>
      <c r="D17">
        <v>0</v>
      </c>
      <c r="E17">
        <v>0</v>
      </c>
      <c r="F17">
        <v>1</v>
      </c>
      <c r="G17">
        <v>1</v>
      </c>
      <c r="H17">
        <v>1</v>
      </c>
      <c r="I17">
        <v>1</v>
      </c>
      <c r="J17">
        <v>0</v>
      </c>
      <c r="K17">
        <v>1</v>
      </c>
      <c r="L17">
        <v>1</v>
      </c>
      <c r="M17">
        <v>1</v>
      </c>
      <c r="N17">
        <v>0</v>
      </c>
      <c r="O17">
        <v>1</v>
      </c>
      <c r="P17">
        <v>1</v>
      </c>
      <c r="Q17">
        <v>1</v>
      </c>
      <c r="R17">
        <v>0</v>
      </c>
      <c r="S17">
        <v>0</v>
      </c>
      <c r="T17">
        <v>1</v>
      </c>
      <c r="U17">
        <v>1</v>
      </c>
      <c r="V17">
        <v>1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0.71449591853721695</v>
      </c>
      <c r="AF17">
        <v>9.8694181004846913E-3</v>
      </c>
      <c r="AG17">
        <v>1.381312033340973</v>
      </c>
      <c r="AH17" t="b">
        <v>1</v>
      </c>
      <c r="AJ17">
        <v>2</v>
      </c>
      <c r="AK17" s="6" t="s">
        <v>108</v>
      </c>
    </row>
    <row r="18" spans="1:37" x14ac:dyDescent="0.2">
      <c r="A18" s="5">
        <v>23</v>
      </c>
      <c r="B18">
        <v>15</v>
      </c>
      <c r="C18">
        <v>1</v>
      </c>
      <c r="D18">
        <v>0</v>
      </c>
      <c r="E18">
        <v>0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0</v>
      </c>
      <c r="O18">
        <v>1</v>
      </c>
      <c r="P18">
        <v>1</v>
      </c>
      <c r="Q18">
        <v>1</v>
      </c>
      <c r="R18">
        <v>1</v>
      </c>
      <c r="S18">
        <v>0</v>
      </c>
      <c r="T18">
        <v>1</v>
      </c>
      <c r="U18">
        <v>1</v>
      </c>
      <c r="V18">
        <v>1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0.81047235421136421</v>
      </c>
      <c r="AF18">
        <v>8.8868664621583552E-3</v>
      </c>
      <c r="AG18">
        <v>1.0965045773591851</v>
      </c>
      <c r="AH18" t="b">
        <v>1</v>
      </c>
      <c r="AJ18">
        <v>1</v>
      </c>
      <c r="AK18" t="s">
        <v>109</v>
      </c>
    </row>
    <row r="19" spans="1:37" x14ac:dyDescent="0.2">
      <c r="A19" s="5">
        <v>24</v>
      </c>
      <c r="B19">
        <v>16</v>
      </c>
      <c r="C19">
        <v>1</v>
      </c>
      <c r="D19">
        <v>0</v>
      </c>
      <c r="E19">
        <v>0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0</v>
      </c>
      <c r="T19">
        <v>1</v>
      </c>
      <c r="U19">
        <v>1</v>
      </c>
      <c r="V19">
        <v>1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0.77539254520150536</v>
      </c>
      <c r="AF19">
        <v>2.356014299132036E-3</v>
      </c>
      <c r="AG19">
        <v>0.30384794304667528</v>
      </c>
      <c r="AH19" t="b">
        <v>1</v>
      </c>
      <c r="AJ19">
        <v>1</v>
      </c>
      <c r="AK19" t="s">
        <v>110</v>
      </c>
    </row>
    <row r="20" spans="1:37" x14ac:dyDescent="0.2">
      <c r="A20" s="5">
        <v>25</v>
      </c>
      <c r="B20">
        <v>17</v>
      </c>
      <c r="C20">
        <v>1</v>
      </c>
      <c r="D20">
        <v>0</v>
      </c>
      <c r="E20">
        <v>0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0.89535173110766131</v>
      </c>
      <c r="AF20">
        <v>1.996712324977687E-3</v>
      </c>
      <c r="AG20">
        <v>0.22300870770725001</v>
      </c>
      <c r="AH20" t="b">
        <v>1</v>
      </c>
      <c r="AJ20">
        <v>4</v>
      </c>
      <c r="AK20" s="6" t="s">
        <v>95</v>
      </c>
    </row>
    <row r="21" spans="1:37" x14ac:dyDescent="0.2">
      <c r="A21" s="5">
        <v>26</v>
      </c>
      <c r="B21">
        <v>18</v>
      </c>
      <c r="C21">
        <v>1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1</v>
      </c>
      <c r="K21">
        <v>1</v>
      </c>
      <c r="L21">
        <v>1</v>
      </c>
      <c r="M21">
        <v>0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</v>
      </c>
      <c r="V21">
        <v>0</v>
      </c>
      <c r="W21">
        <v>1</v>
      </c>
      <c r="X21">
        <v>1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0.71727603293879927</v>
      </c>
      <c r="AF21">
        <v>8.2142811712026149E-3</v>
      </c>
      <c r="AG21">
        <v>1.145205024842018</v>
      </c>
      <c r="AH21" t="b">
        <v>1</v>
      </c>
      <c r="AJ21">
        <v>2</v>
      </c>
      <c r="AK21" s="6" t="s">
        <v>111</v>
      </c>
    </row>
    <row r="22" spans="1:37" x14ac:dyDescent="0.2">
      <c r="A22" s="5">
        <v>28</v>
      </c>
      <c r="B22">
        <v>20</v>
      </c>
      <c r="C22">
        <v>1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0.79114492981941831</v>
      </c>
      <c r="AF22">
        <v>5.8936630547841134E-3</v>
      </c>
      <c r="AG22">
        <v>0.74495365294565719</v>
      </c>
      <c r="AH22" t="b">
        <v>1</v>
      </c>
      <c r="AJ22">
        <v>4</v>
      </c>
      <c r="AK22" s="6" t="s">
        <v>113</v>
      </c>
    </row>
    <row r="23" spans="1:37" x14ac:dyDescent="0.2">
      <c r="A23" s="5">
        <v>29</v>
      </c>
      <c r="B23">
        <v>21</v>
      </c>
      <c r="C23">
        <v>1</v>
      </c>
      <c r="D23">
        <v>0</v>
      </c>
      <c r="E23">
        <v>0</v>
      </c>
      <c r="F23">
        <v>1</v>
      </c>
      <c r="G23">
        <v>1</v>
      </c>
      <c r="H23">
        <v>1</v>
      </c>
      <c r="I23">
        <v>1</v>
      </c>
      <c r="J23">
        <v>1</v>
      </c>
      <c r="K23">
        <v>0</v>
      </c>
      <c r="L23">
        <v>0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0.79328377247140092</v>
      </c>
      <c r="AF23">
        <v>1.5457630803294761E-2</v>
      </c>
      <c r="AG23">
        <v>1.9485625875262731</v>
      </c>
      <c r="AH23" t="b">
        <v>1</v>
      </c>
      <c r="AJ23">
        <v>1</v>
      </c>
      <c r="AK23" t="s">
        <v>114</v>
      </c>
    </row>
    <row r="24" spans="1:37" x14ac:dyDescent="0.2">
      <c r="A24" s="5">
        <v>30</v>
      </c>
      <c r="B24">
        <v>22</v>
      </c>
      <c r="C24">
        <v>1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1</v>
      </c>
      <c r="K24">
        <v>0</v>
      </c>
      <c r="L24">
        <v>0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0.73468166680242442</v>
      </c>
      <c r="AF24">
        <v>1.545054726564961E-2</v>
      </c>
      <c r="AG24">
        <v>2.1030261082865258</v>
      </c>
      <c r="AH24" t="b">
        <v>1</v>
      </c>
      <c r="AJ24">
        <v>2</v>
      </c>
      <c r="AK24" s="6" t="s">
        <v>94</v>
      </c>
    </row>
    <row r="25" spans="1:37" x14ac:dyDescent="0.2">
      <c r="A25" s="5">
        <v>31</v>
      </c>
      <c r="B25">
        <v>23</v>
      </c>
      <c r="C25">
        <v>1</v>
      </c>
      <c r="D25">
        <v>0</v>
      </c>
      <c r="E25">
        <v>0</v>
      </c>
      <c r="F25">
        <v>1</v>
      </c>
      <c r="G25">
        <v>0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0</v>
      </c>
      <c r="P25">
        <v>0</v>
      </c>
      <c r="Q25">
        <v>0</v>
      </c>
      <c r="R25">
        <v>1</v>
      </c>
      <c r="S25">
        <v>1</v>
      </c>
      <c r="T25">
        <v>0</v>
      </c>
      <c r="U25">
        <v>1</v>
      </c>
      <c r="V25">
        <v>1</v>
      </c>
      <c r="W25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0.82911231565100518</v>
      </c>
      <c r="AF25">
        <v>0.1095793548520949</v>
      </c>
      <c r="AG25">
        <v>13.21646691088589</v>
      </c>
      <c r="AH25" t="b">
        <v>1</v>
      </c>
      <c r="AJ25">
        <v>1</v>
      </c>
      <c r="AK25" t="s">
        <v>115</v>
      </c>
    </row>
    <row r="26" spans="1:37" x14ac:dyDescent="0.2">
      <c r="A26" s="5">
        <v>33</v>
      </c>
      <c r="B26">
        <v>25</v>
      </c>
      <c r="C26">
        <v>1</v>
      </c>
      <c r="D26">
        <v>0</v>
      </c>
      <c r="E26">
        <v>0</v>
      </c>
      <c r="F26">
        <v>1</v>
      </c>
      <c r="G26">
        <v>1</v>
      </c>
      <c r="H26">
        <v>1</v>
      </c>
      <c r="I26">
        <v>1</v>
      </c>
      <c r="J26">
        <v>0</v>
      </c>
      <c r="K26">
        <v>1</v>
      </c>
      <c r="L26">
        <v>1</v>
      </c>
      <c r="M26">
        <v>0</v>
      </c>
      <c r="N26">
        <v>0</v>
      </c>
      <c r="O26">
        <v>1</v>
      </c>
      <c r="P26">
        <v>1</v>
      </c>
      <c r="Q26">
        <v>1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0.67482654845865475</v>
      </c>
      <c r="AF26">
        <v>1.5412690854560329E-3</v>
      </c>
      <c r="AG26">
        <v>0.22839485034730569</v>
      </c>
      <c r="AH26" t="b">
        <v>1</v>
      </c>
      <c r="AJ26">
        <v>1</v>
      </c>
      <c r="AK26" t="s">
        <v>116</v>
      </c>
    </row>
    <row r="27" spans="1:37" x14ac:dyDescent="0.2">
      <c r="A27" s="5">
        <v>34</v>
      </c>
      <c r="B27">
        <v>26</v>
      </c>
      <c r="C27">
        <v>1</v>
      </c>
      <c r="D27">
        <v>0</v>
      </c>
      <c r="E27">
        <v>0</v>
      </c>
      <c r="F27">
        <v>1</v>
      </c>
      <c r="G27">
        <v>0</v>
      </c>
      <c r="H27">
        <v>1</v>
      </c>
      <c r="I27">
        <v>1</v>
      </c>
      <c r="J27">
        <v>1</v>
      </c>
      <c r="K27">
        <v>1</v>
      </c>
      <c r="L27">
        <v>1</v>
      </c>
      <c r="M27">
        <v>0</v>
      </c>
      <c r="N27">
        <v>1</v>
      </c>
      <c r="O27">
        <v>0</v>
      </c>
      <c r="P27">
        <v>0</v>
      </c>
      <c r="Q27">
        <v>0</v>
      </c>
      <c r="R27">
        <v>1</v>
      </c>
      <c r="S27">
        <v>1</v>
      </c>
      <c r="T27">
        <v>0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0.71249366801890412</v>
      </c>
      <c r="AF27">
        <v>8.3843310799998863E-2</v>
      </c>
      <c r="AG27">
        <v>11.76758679598179</v>
      </c>
      <c r="AH27" t="b">
        <v>1</v>
      </c>
      <c r="AJ27">
        <v>1</v>
      </c>
      <c r="AK27" t="s">
        <v>117</v>
      </c>
    </row>
    <row r="28" spans="1:37" x14ac:dyDescent="0.2">
      <c r="A28" s="5">
        <v>35</v>
      </c>
      <c r="B28">
        <v>27</v>
      </c>
      <c r="C28">
        <v>1</v>
      </c>
      <c r="D28">
        <v>0</v>
      </c>
      <c r="E28">
        <v>0</v>
      </c>
      <c r="F28">
        <v>1</v>
      </c>
      <c r="G28">
        <v>1</v>
      </c>
      <c r="H28">
        <v>1</v>
      </c>
      <c r="I28">
        <v>1</v>
      </c>
      <c r="J28">
        <v>0</v>
      </c>
      <c r="K28">
        <v>0</v>
      </c>
      <c r="L28">
        <v>0</v>
      </c>
      <c r="M28">
        <v>1</v>
      </c>
      <c r="N28">
        <v>0</v>
      </c>
      <c r="O28">
        <v>1</v>
      </c>
      <c r="P28">
        <v>1</v>
      </c>
      <c r="Q28">
        <v>1</v>
      </c>
      <c r="R28">
        <v>0</v>
      </c>
      <c r="S28">
        <v>0</v>
      </c>
      <c r="T28">
        <v>1</v>
      </c>
      <c r="U28">
        <v>1</v>
      </c>
      <c r="V28">
        <v>1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0.51112711556377022</v>
      </c>
      <c r="AF28">
        <v>9.9003637157663894E-3</v>
      </c>
      <c r="AG28">
        <v>1.9369670311555169</v>
      </c>
      <c r="AH28" t="b">
        <v>1</v>
      </c>
      <c r="AJ28">
        <v>1</v>
      </c>
      <c r="AK28" t="s">
        <v>118</v>
      </c>
    </row>
    <row r="29" spans="1:37" x14ac:dyDescent="0.2">
      <c r="A29" s="5">
        <v>36</v>
      </c>
      <c r="B29">
        <v>28</v>
      </c>
      <c r="C29">
        <v>1</v>
      </c>
      <c r="D29">
        <v>0</v>
      </c>
      <c r="E29">
        <v>0</v>
      </c>
      <c r="F29">
        <v>1</v>
      </c>
      <c r="G29">
        <v>0</v>
      </c>
      <c r="H29">
        <v>1</v>
      </c>
      <c r="I29">
        <v>1</v>
      </c>
      <c r="J29">
        <v>1</v>
      </c>
      <c r="K29">
        <v>0</v>
      </c>
      <c r="L29">
        <v>0</v>
      </c>
      <c r="M29">
        <v>1</v>
      </c>
      <c r="N29">
        <v>1</v>
      </c>
      <c r="O29">
        <v>0</v>
      </c>
      <c r="P29">
        <v>0</v>
      </c>
      <c r="Q29">
        <v>0</v>
      </c>
      <c r="R29">
        <v>1</v>
      </c>
      <c r="S29">
        <v>1</v>
      </c>
      <c r="T29">
        <v>0</v>
      </c>
      <c r="U29">
        <v>1</v>
      </c>
      <c r="V29">
        <v>1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0.75422542448834473</v>
      </c>
      <c r="AF29">
        <v>1.6483084154857709E-2</v>
      </c>
      <c r="AG29">
        <v>2.185432049846316</v>
      </c>
      <c r="AH29" t="b">
        <v>1</v>
      </c>
      <c r="AJ29">
        <v>1</v>
      </c>
      <c r="AK29" t="s">
        <v>119</v>
      </c>
    </row>
    <row r="30" spans="1:37" x14ac:dyDescent="0.2">
      <c r="A30" s="5">
        <v>37</v>
      </c>
      <c r="B30">
        <v>29</v>
      </c>
      <c r="C30">
        <v>1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1</v>
      </c>
      <c r="L30">
        <v>1</v>
      </c>
      <c r="M30">
        <v>1</v>
      </c>
      <c r="N30">
        <v>0</v>
      </c>
      <c r="O30">
        <v>1</v>
      </c>
      <c r="P30">
        <v>1</v>
      </c>
      <c r="Q30">
        <v>1</v>
      </c>
      <c r="R30">
        <v>0</v>
      </c>
      <c r="S30">
        <v>0</v>
      </c>
      <c r="T30">
        <v>1</v>
      </c>
      <c r="U30">
        <v>1</v>
      </c>
      <c r="V30">
        <v>1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0.69907952709136456</v>
      </c>
      <c r="AF30">
        <v>1.0982166216606699E-2</v>
      </c>
      <c r="AG30">
        <v>1.5709466220960311</v>
      </c>
      <c r="AH30" t="b">
        <v>1</v>
      </c>
      <c r="AJ30">
        <v>1</v>
      </c>
      <c r="AK30" t="s">
        <v>120</v>
      </c>
    </row>
    <row r="31" spans="1:37" x14ac:dyDescent="0.2">
      <c r="A31" s="5">
        <v>38</v>
      </c>
      <c r="B31">
        <v>30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1</v>
      </c>
      <c r="L31">
        <v>1</v>
      </c>
      <c r="M31">
        <v>1</v>
      </c>
      <c r="N31">
        <v>1</v>
      </c>
      <c r="O31">
        <v>0</v>
      </c>
      <c r="P31">
        <v>0</v>
      </c>
      <c r="Q31">
        <v>0</v>
      </c>
      <c r="R31">
        <v>1</v>
      </c>
      <c r="S31">
        <v>1</v>
      </c>
      <c r="T31">
        <v>0</v>
      </c>
      <c r="U31">
        <v>1</v>
      </c>
      <c r="V31">
        <v>1</v>
      </c>
      <c r="W31">
        <v>1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0.71728224953341591</v>
      </c>
      <c r="AF31">
        <v>2.6390732279320581E-2</v>
      </c>
      <c r="AG31">
        <v>3.679267442696017</v>
      </c>
      <c r="AH31" t="b">
        <v>1</v>
      </c>
      <c r="AJ31">
        <v>1</v>
      </c>
      <c r="AK31" t="s">
        <v>121</v>
      </c>
    </row>
    <row r="32" spans="1:37" x14ac:dyDescent="0.2">
      <c r="A32" s="5">
        <v>41</v>
      </c>
      <c r="B32" t="s">
        <v>37</v>
      </c>
      <c r="C32">
        <v>1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1</v>
      </c>
      <c r="R32">
        <v>1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0.59592276002590816</v>
      </c>
      <c r="AF32">
        <v>1.4773616102523609E-2</v>
      </c>
      <c r="AG32">
        <v>2.4791159347364609</v>
      </c>
      <c r="AH32" t="b">
        <v>1</v>
      </c>
      <c r="AJ32">
        <v>2</v>
      </c>
      <c r="AK32" s="6" t="s">
        <v>91</v>
      </c>
    </row>
    <row r="33" spans="1:37" x14ac:dyDescent="0.2">
      <c r="A33" s="5">
        <v>42</v>
      </c>
      <c r="B33" t="s">
        <v>38</v>
      </c>
      <c r="C33">
        <v>1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1</v>
      </c>
      <c r="K33">
        <v>1</v>
      </c>
      <c r="L33">
        <v>1</v>
      </c>
      <c r="M33">
        <v>0</v>
      </c>
      <c r="N33">
        <v>1</v>
      </c>
      <c r="O33">
        <v>0</v>
      </c>
      <c r="P33">
        <v>0</v>
      </c>
      <c r="Q33">
        <v>1</v>
      </c>
      <c r="R33">
        <v>1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0.67468208153569986</v>
      </c>
      <c r="AF33">
        <v>4.8683894411408824E-3</v>
      </c>
      <c r="AG33">
        <v>0.72158273865218669</v>
      </c>
      <c r="AH33" t="b">
        <v>1</v>
      </c>
      <c r="AJ33">
        <v>1</v>
      </c>
      <c r="AK33" t="s">
        <v>124</v>
      </c>
    </row>
    <row r="34" spans="1:37" x14ac:dyDescent="0.2">
      <c r="A34" s="5">
        <v>43</v>
      </c>
      <c r="B34" t="s">
        <v>39</v>
      </c>
      <c r="C34">
        <v>1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1</v>
      </c>
      <c r="K34">
        <v>1</v>
      </c>
      <c r="L34">
        <v>1</v>
      </c>
      <c r="M34">
        <v>0</v>
      </c>
      <c r="N34">
        <v>1</v>
      </c>
      <c r="O34">
        <v>1</v>
      </c>
      <c r="P34">
        <v>1</v>
      </c>
      <c r="Q34">
        <v>1</v>
      </c>
      <c r="R34">
        <v>1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0.69869659079569546</v>
      </c>
      <c r="AF34">
        <v>2.527678793962157E-2</v>
      </c>
      <c r="AG34">
        <v>3.617705921655586</v>
      </c>
      <c r="AH34" t="b">
        <v>1</v>
      </c>
      <c r="AJ34">
        <v>1</v>
      </c>
      <c r="AK34" t="s">
        <v>125</v>
      </c>
    </row>
    <row r="35" spans="1:37" x14ac:dyDescent="0.2">
      <c r="A35" s="5">
        <v>44</v>
      </c>
      <c r="B35" t="s">
        <v>40</v>
      </c>
      <c r="C35">
        <v>1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0</v>
      </c>
      <c r="T35">
        <v>1</v>
      </c>
      <c r="U35">
        <v>1</v>
      </c>
      <c r="V35">
        <v>1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0.79235793636783725</v>
      </c>
      <c r="AF35">
        <v>8.5253542053357802E-3</v>
      </c>
      <c r="AG35">
        <v>1.075947348292609</v>
      </c>
      <c r="AH35" t="b">
        <v>1</v>
      </c>
      <c r="AJ35">
        <v>1</v>
      </c>
      <c r="AK35" t="s">
        <v>126</v>
      </c>
    </row>
    <row r="36" spans="1:37" x14ac:dyDescent="0.2">
      <c r="A36" s="5">
        <v>47</v>
      </c>
      <c r="B36" t="s">
        <v>43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1</v>
      </c>
      <c r="R36">
        <v>0</v>
      </c>
      <c r="S36">
        <v>1</v>
      </c>
      <c r="T36">
        <v>0</v>
      </c>
      <c r="U36">
        <v>0</v>
      </c>
      <c r="V36">
        <v>0</v>
      </c>
      <c r="W36">
        <v>1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0.52113947351589796</v>
      </c>
      <c r="AF36">
        <v>4.4276436015314749E-4</v>
      </c>
      <c r="AG36">
        <v>8.4960818102304145E-2</v>
      </c>
      <c r="AH36" t="b">
        <v>1</v>
      </c>
      <c r="AJ36">
        <v>1</v>
      </c>
      <c r="AK36" t="s">
        <v>127</v>
      </c>
    </row>
    <row r="37" spans="1:37" x14ac:dyDescent="0.2">
      <c r="A37" s="5">
        <v>48</v>
      </c>
      <c r="B37" t="s">
        <v>44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1</v>
      </c>
      <c r="R37">
        <v>1</v>
      </c>
      <c r="S37">
        <v>1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0.55643477779731154</v>
      </c>
      <c r="AF37">
        <v>2.217291393649267E-3</v>
      </c>
      <c r="AG37">
        <v>0.3984818135247728</v>
      </c>
      <c r="AH37" t="b">
        <v>1</v>
      </c>
      <c r="AJ37">
        <v>1</v>
      </c>
      <c r="AK37" t="s">
        <v>128</v>
      </c>
    </row>
    <row r="38" spans="1:37" x14ac:dyDescent="0.2">
      <c r="A38" s="5">
        <v>49</v>
      </c>
      <c r="B38" t="s">
        <v>45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0</v>
      </c>
      <c r="U38">
        <v>0</v>
      </c>
      <c r="V38">
        <v>0</v>
      </c>
      <c r="W38">
        <v>1</v>
      </c>
      <c r="X38">
        <v>1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0.58615225102100565</v>
      </c>
      <c r="AF38">
        <v>1.30730254302091E-2</v>
      </c>
      <c r="AG38">
        <v>2.2303122452293729</v>
      </c>
      <c r="AH38" t="b">
        <v>1</v>
      </c>
      <c r="AJ38">
        <v>1</v>
      </c>
      <c r="AK38" t="s">
        <v>129</v>
      </c>
    </row>
    <row r="39" spans="1:37" x14ac:dyDescent="0.2">
      <c r="A39" s="5">
        <v>53</v>
      </c>
      <c r="B39" t="s">
        <v>49</v>
      </c>
      <c r="C39">
        <v>1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1</v>
      </c>
      <c r="K39">
        <v>1</v>
      </c>
      <c r="L39">
        <v>1</v>
      </c>
      <c r="M39">
        <v>0</v>
      </c>
      <c r="N39">
        <v>1</v>
      </c>
      <c r="O39">
        <v>0</v>
      </c>
      <c r="P39">
        <v>0</v>
      </c>
      <c r="Q39">
        <v>1</v>
      </c>
      <c r="R39">
        <v>1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0.78318014552348014</v>
      </c>
      <c r="AF39">
        <v>1.025669759223596E-2</v>
      </c>
      <c r="AG39">
        <v>1.309621758271253</v>
      </c>
      <c r="AH39" t="b">
        <v>1</v>
      </c>
      <c r="AJ39">
        <v>1</v>
      </c>
      <c r="AK39" t="s">
        <v>130</v>
      </c>
    </row>
    <row r="40" spans="1:37" x14ac:dyDescent="0.2">
      <c r="A40" s="5">
        <v>54</v>
      </c>
      <c r="B40" t="s">
        <v>50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0</v>
      </c>
      <c r="U40">
        <v>0</v>
      </c>
      <c r="V40">
        <v>0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0.65773305768043011</v>
      </c>
      <c r="AF40">
        <v>5.0689870632973427E-3</v>
      </c>
      <c r="AG40">
        <v>0.77067542890024376</v>
      </c>
      <c r="AH40" t="b">
        <v>1</v>
      </c>
      <c r="AJ40">
        <v>1</v>
      </c>
      <c r="AK40" t="s">
        <v>131</v>
      </c>
    </row>
    <row r="41" spans="1:37" x14ac:dyDescent="0.2">
      <c r="A41" s="5">
        <v>55</v>
      </c>
      <c r="B41" t="s">
        <v>51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0.68204956172893105</v>
      </c>
      <c r="AF41">
        <v>7.9816260917613055E-2</v>
      </c>
      <c r="AG41">
        <v>11.70241363622995</v>
      </c>
      <c r="AH41" t="b">
        <v>1</v>
      </c>
      <c r="AJ41">
        <v>1</v>
      </c>
      <c r="AK41" t="s">
        <v>132</v>
      </c>
    </row>
    <row r="42" spans="1:37" x14ac:dyDescent="0.2">
      <c r="A42" s="5">
        <v>56</v>
      </c>
      <c r="B42" t="s">
        <v>52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1</v>
      </c>
      <c r="R42">
        <v>0</v>
      </c>
      <c r="S42">
        <v>1</v>
      </c>
      <c r="T42">
        <v>0</v>
      </c>
      <c r="U42">
        <v>0</v>
      </c>
      <c r="V42">
        <v>0</v>
      </c>
      <c r="W42">
        <v>1</v>
      </c>
      <c r="X42">
        <v>1</v>
      </c>
      <c r="Y42">
        <v>0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0.54152652413788871</v>
      </c>
      <c r="AF42">
        <v>1.0012592683189109E-3</v>
      </c>
      <c r="AG42">
        <v>0.18489570199962371</v>
      </c>
      <c r="AH42" t="b">
        <v>1</v>
      </c>
      <c r="AJ42">
        <v>1</v>
      </c>
      <c r="AK42" t="s">
        <v>133</v>
      </c>
    </row>
    <row r="43" spans="1:37" x14ac:dyDescent="0.2">
      <c r="A43" s="5">
        <v>57</v>
      </c>
      <c r="B43" t="s">
        <v>53</v>
      </c>
      <c r="C43">
        <v>1</v>
      </c>
      <c r="D43">
        <v>0</v>
      </c>
      <c r="E43">
        <v>0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0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</v>
      </c>
      <c r="V43">
        <v>0</v>
      </c>
      <c r="W43">
        <v>1</v>
      </c>
      <c r="X43">
        <v>1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0.73787608397164428</v>
      </c>
      <c r="AF43">
        <v>5.5996708174201491E-3</v>
      </c>
      <c r="AG43">
        <v>0.75889040708295108</v>
      </c>
      <c r="AH43" t="b">
        <v>1</v>
      </c>
      <c r="AJ43">
        <v>2</v>
      </c>
      <c r="AK43" s="6" t="s">
        <v>112</v>
      </c>
    </row>
    <row r="44" spans="1:37" x14ac:dyDescent="0.2">
      <c r="A44" s="5">
        <v>58</v>
      </c>
      <c r="B44" t="s">
        <v>54</v>
      </c>
      <c r="C44">
        <v>1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1</v>
      </c>
      <c r="K44">
        <v>0</v>
      </c>
      <c r="L44">
        <v>0</v>
      </c>
      <c r="M44">
        <v>1</v>
      </c>
      <c r="N44">
        <v>0</v>
      </c>
      <c r="O44">
        <v>1</v>
      </c>
      <c r="P44">
        <v>1</v>
      </c>
      <c r="Q44">
        <v>0</v>
      </c>
      <c r="R44">
        <v>1</v>
      </c>
      <c r="S44">
        <v>0</v>
      </c>
      <c r="T44">
        <v>1</v>
      </c>
      <c r="U44">
        <v>1</v>
      </c>
      <c r="V44">
        <v>1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0.69444711374250845</v>
      </c>
      <c r="AF44">
        <v>2.7564668502500549E-2</v>
      </c>
      <c r="AG44">
        <v>3.9692970072190632</v>
      </c>
      <c r="AH44" t="b">
        <v>1</v>
      </c>
      <c r="AJ44">
        <v>1</v>
      </c>
      <c r="AK44" t="s">
        <v>134</v>
      </c>
    </row>
    <row r="45" spans="1:37" x14ac:dyDescent="0.2">
      <c r="A45" s="5">
        <v>59</v>
      </c>
      <c r="B45" t="s">
        <v>55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1</v>
      </c>
      <c r="L45">
        <v>1</v>
      </c>
      <c r="M45">
        <v>1</v>
      </c>
      <c r="N45">
        <v>1</v>
      </c>
      <c r="O45">
        <v>0</v>
      </c>
      <c r="P45">
        <v>0</v>
      </c>
      <c r="Q45">
        <v>1</v>
      </c>
      <c r="R45">
        <v>1</v>
      </c>
      <c r="S45">
        <v>1</v>
      </c>
      <c r="T45">
        <v>0</v>
      </c>
      <c r="U45">
        <v>1</v>
      </c>
      <c r="V45">
        <v>1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0.60710787104284336</v>
      </c>
      <c r="AF45">
        <v>3.5037783085195069E-2</v>
      </c>
      <c r="AG45">
        <v>5.771261542863849</v>
      </c>
      <c r="AH45" t="b">
        <v>1</v>
      </c>
      <c r="AJ45">
        <v>1</v>
      </c>
      <c r="AK45" t="s">
        <v>135</v>
      </c>
    </row>
    <row r="46" spans="1:37" x14ac:dyDescent="0.2">
      <c r="A46" s="5">
        <v>60</v>
      </c>
      <c r="B46" t="s">
        <v>56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0</v>
      </c>
      <c r="U46">
        <v>1</v>
      </c>
      <c r="V46">
        <v>1</v>
      </c>
      <c r="W46">
        <v>1</v>
      </c>
      <c r="X46">
        <v>1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0.66700465336745207</v>
      </c>
      <c r="AF46">
        <v>1.3959576260723741E-2</v>
      </c>
      <c r="AG46">
        <v>2.0928753930346908</v>
      </c>
      <c r="AH46" t="b">
        <v>1</v>
      </c>
      <c r="AJ46">
        <v>1</v>
      </c>
      <c r="AK46" t="s">
        <v>136</v>
      </c>
    </row>
    <row r="47" spans="1:37" x14ac:dyDescent="0.2">
      <c r="A47" s="5">
        <v>63</v>
      </c>
      <c r="B47" t="s">
        <v>59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1</v>
      </c>
      <c r="L47">
        <v>1</v>
      </c>
      <c r="M47">
        <v>1</v>
      </c>
      <c r="N47">
        <v>1</v>
      </c>
      <c r="O47">
        <v>0</v>
      </c>
      <c r="P47">
        <v>0</v>
      </c>
      <c r="Q47">
        <v>1</v>
      </c>
      <c r="R47">
        <v>1</v>
      </c>
      <c r="S47">
        <v>1</v>
      </c>
      <c r="T47">
        <v>0</v>
      </c>
      <c r="U47">
        <v>1</v>
      </c>
      <c r="V47">
        <v>1</v>
      </c>
      <c r="W47">
        <v>1</v>
      </c>
      <c r="X47">
        <v>1</v>
      </c>
      <c r="Y47">
        <v>0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0.8006123698830433</v>
      </c>
      <c r="AF47">
        <v>2.1071891910074959E-2</v>
      </c>
      <c r="AG47">
        <v>2.631971813419923</v>
      </c>
      <c r="AH47" t="b">
        <v>1</v>
      </c>
      <c r="AJ47">
        <v>1</v>
      </c>
      <c r="AK47" t="s">
        <v>137</v>
      </c>
    </row>
    <row r="48" spans="1:37" x14ac:dyDescent="0.2">
      <c r="A48" s="5">
        <v>65</v>
      </c>
      <c r="B48" t="s">
        <v>61</v>
      </c>
      <c r="C48">
        <v>1</v>
      </c>
      <c r="D48">
        <v>0</v>
      </c>
      <c r="E48">
        <v>0</v>
      </c>
      <c r="F48">
        <v>1</v>
      </c>
      <c r="G48">
        <v>0</v>
      </c>
      <c r="H48">
        <v>1</v>
      </c>
      <c r="I48">
        <v>1</v>
      </c>
      <c r="J48">
        <v>0</v>
      </c>
      <c r="K48">
        <v>1</v>
      </c>
      <c r="L48">
        <v>1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1</v>
      </c>
      <c r="V48">
        <v>1</v>
      </c>
      <c r="W48">
        <v>1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0.60893044652887773</v>
      </c>
      <c r="AF48">
        <v>7.200705410837587E-3</v>
      </c>
      <c r="AG48">
        <v>1.182516895301293</v>
      </c>
      <c r="AH48" t="b">
        <v>1</v>
      </c>
      <c r="AJ48">
        <v>2</v>
      </c>
      <c r="AK48" s="6" t="s">
        <v>102</v>
      </c>
    </row>
    <row r="49" spans="1:37" x14ac:dyDescent="0.2">
      <c r="A49" s="5">
        <v>66</v>
      </c>
      <c r="B49" t="s">
        <v>62</v>
      </c>
      <c r="C49">
        <v>1</v>
      </c>
      <c r="D49">
        <v>0</v>
      </c>
      <c r="E49">
        <v>0</v>
      </c>
      <c r="F49">
        <v>1</v>
      </c>
      <c r="G49">
        <v>0</v>
      </c>
      <c r="H49">
        <v>1</v>
      </c>
      <c r="I49">
        <v>1</v>
      </c>
      <c r="J49">
        <v>0</v>
      </c>
      <c r="K49">
        <v>1</v>
      </c>
      <c r="L49">
        <v>1</v>
      </c>
      <c r="M49">
        <v>1</v>
      </c>
      <c r="N49">
        <v>1</v>
      </c>
      <c r="O49">
        <v>0</v>
      </c>
      <c r="P49">
        <v>0</v>
      </c>
      <c r="Q49">
        <v>1</v>
      </c>
      <c r="R49">
        <v>0</v>
      </c>
      <c r="S49">
        <v>1</v>
      </c>
      <c r="T49">
        <v>0</v>
      </c>
      <c r="U49">
        <v>1</v>
      </c>
      <c r="V49">
        <v>1</v>
      </c>
      <c r="W49">
        <v>1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0.56876603187932173</v>
      </c>
      <c r="AF49">
        <v>3.675476643343879E-3</v>
      </c>
      <c r="AG49">
        <v>0.64621943599538401</v>
      </c>
      <c r="AH49" t="b">
        <v>1</v>
      </c>
      <c r="AJ49">
        <v>1</v>
      </c>
      <c r="AK49" t="s">
        <v>138</v>
      </c>
    </row>
    <row r="50" spans="1:37" x14ac:dyDescent="0.2">
      <c r="A50" s="5">
        <v>67</v>
      </c>
      <c r="B50" t="s">
        <v>63</v>
      </c>
      <c r="C50">
        <v>1</v>
      </c>
      <c r="D50">
        <v>0</v>
      </c>
      <c r="E50">
        <v>0</v>
      </c>
      <c r="F50">
        <v>1</v>
      </c>
      <c r="G50">
        <v>0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0</v>
      </c>
      <c r="P50">
        <v>0</v>
      </c>
      <c r="Q50">
        <v>1</v>
      </c>
      <c r="R50">
        <v>1</v>
      </c>
      <c r="S50">
        <v>1</v>
      </c>
      <c r="T50">
        <v>0</v>
      </c>
      <c r="U50">
        <v>1</v>
      </c>
      <c r="V50">
        <v>1</v>
      </c>
      <c r="W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0.6492149582239517</v>
      </c>
      <c r="AF50">
        <v>2.4140816560313309E-2</v>
      </c>
      <c r="AG50">
        <v>3.7184627763899658</v>
      </c>
      <c r="AH50" t="b">
        <v>1</v>
      </c>
      <c r="AJ50">
        <v>1</v>
      </c>
      <c r="AK50" t="s">
        <v>139</v>
      </c>
    </row>
    <row r="51" spans="1:37" x14ac:dyDescent="0.2">
      <c r="A51" s="5">
        <v>68</v>
      </c>
      <c r="B51" t="s">
        <v>64</v>
      </c>
      <c r="C51">
        <v>1</v>
      </c>
      <c r="D51">
        <v>0</v>
      </c>
      <c r="E51">
        <v>0</v>
      </c>
      <c r="F51">
        <v>1</v>
      </c>
      <c r="G51">
        <v>0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0</v>
      </c>
      <c r="U51">
        <v>1</v>
      </c>
      <c r="V51">
        <v>1</v>
      </c>
      <c r="W51">
        <v>1</v>
      </c>
      <c r="X51">
        <v>1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0.82241875028571443</v>
      </c>
      <c r="AF51">
        <v>1.239287752952432E-2</v>
      </c>
      <c r="AG51">
        <v>1.5068816859074461</v>
      </c>
      <c r="AH51" t="b">
        <v>1</v>
      </c>
      <c r="AJ51">
        <v>1</v>
      </c>
      <c r="AK51" t="s">
        <v>140</v>
      </c>
    </row>
    <row r="52" spans="1:37" x14ac:dyDescent="0.2">
      <c r="A52" s="5">
        <v>70</v>
      </c>
      <c r="B52" t="s">
        <v>66</v>
      </c>
      <c r="C52">
        <v>1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1</v>
      </c>
      <c r="L52">
        <v>1</v>
      </c>
      <c r="M52">
        <v>1</v>
      </c>
      <c r="N52">
        <v>0</v>
      </c>
      <c r="O52">
        <v>1</v>
      </c>
      <c r="P52">
        <v>1</v>
      </c>
      <c r="Q52">
        <v>0</v>
      </c>
      <c r="R52">
        <v>0</v>
      </c>
      <c r="S52">
        <v>0</v>
      </c>
      <c r="T52">
        <v>1</v>
      </c>
      <c r="U52">
        <v>1</v>
      </c>
      <c r="V52">
        <v>1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0.70517928972271748</v>
      </c>
      <c r="AF52">
        <v>1.6749806865949901E-2</v>
      </c>
      <c r="AG52">
        <v>2.3752550748528178</v>
      </c>
      <c r="AH52" t="b">
        <v>1</v>
      </c>
      <c r="AJ52">
        <v>1</v>
      </c>
      <c r="AK52" t="s">
        <v>141</v>
      </c>
    </row>
    <row r="53" spans="1:37" x14ac:dyDescent="0.2">
      <c r="A53" s="5">
        <v>71</v>
      </c>
      <c r="B53" t="s">
        <v>67</v>
      </c>
      <c r="C53">
        <v>1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1</v>
      </c>
      <c r="L53">
        <v>1</v>
      </c>
      <c r="M53">
        <v>1</v>
      </c>
      <c r="N53">
        <v>0</v>
      </c>
      <c r="O53">
        <v>1</v>
      </c>
      <c r="P53">
        <v>1</v>
      </c>
      <c r="Q53">
        <v>0</v>
      </c>
      <c r="R53">
        <v>0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0.67634146914821469</v>
      </c>
      <c r="AF53">
        <v>7.4351753328947808E-3</v>
      </c>
      <c r="AG53">
        <v>1.099322704884361</v>
      </c>
      <c r="AH53" t="b">
        <v>1</v>
      </c>
      <c r="AJ53">
        <v>1</v>
      </c>
      <c r="AK53" t="s">
        <v>142</v>
      </c>
    </row>
    <row r="54" spans="1:37" x14ac:dyDescent="0.2">
      <c r="A54" s="5">
        <v>72</v>
      </c>
      <c r="B54" t="s">
        <v>68</v>
      </c>
      <c r="C54">
        <v>1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0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0.67033160280138182</v>
      </c>
      <c r="AF54">
        <v>5.6348969423995711E-3</v>
      </c>
      <c r="AG54">
        <v>0.84061334999734183</v>
      </c>
      <c r="AH54" t="b">
        <v>1</v>
      </c>
      <c r="AJ54">
        <v>1</v>
      </c>
      <c r="AK54" t="s">
        <v>143</v>
      </c>
    </row>
    <row r="55" spans="1:37" x14ac:dyDescent="0.2">
      <c r="A55" s="5">
        <v>73</v>
      </c>
      <c r="B55" t="s">
        <v>69</v>
      </c>
      <c r="C55">
        <v>1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1</v>
      </c>
      <c r="L55">
        <v>1</v>
      </c>
      <c r="M55">
        <v>1</v>
      </c>
      <c r="N55">
        <v>0</v>
      </c>
      <c r="O55">
        <v>1</v>
      </c>
      <c r="P55">
        <v>1</v>
      </c>
      <c r="Q55">
        <v>0</v>
      </c>
      <c r="R55">
        <v>0</v>
      </c>
      <c r="S55">
        <v>0</v>
      </c>
      <c r="T55">
        <v>1</v>
      </c>
      <c r="U55">
        <v>1</v>
      </c>
      <c r="V55">
        <v>1</v>
      </c>
      <c r="W55">
        <v>0</v>
      </c>
      <c r="X55">
        <v>0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0.67856991381526321</v>
      </c>
      <c r="AF55">
        <v>1.7024806801462612E-2</v>
      </c>
      <c r="AG55">
        <v>2.508924497660165</v>
      </c>
      <c r="AH55" t="b">
        <v>1</v>
      </c>
      <c r="AJ55">
        <v>1</v>
      </c>
      <c r="AK55" t="s">
        <v>144</v>
      </c>
    </row>
    <row r="56" spans="1:37" x14ac:dyDescent="0.2">
      <c r="A56" s="5">
        <v>74</v>
      </c>
      <c r="B56" t="s">
        <v>70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1</v>
      </c>
      <c r="L56">
        <v>1</v>
      </c>
      <c r="M56">
        <v>1</v>
      </c>
      <c r="N56">
        <v>1</v>
      </c>
      <c r="O56">
        <v>0</v>
      </c>
      <c r="P56">
        <v>0</v>
      </c>
      <c r="Q56">
        <v>1</v>
      </c>
      <c r="R56">
        <v>1</v>
      </c>
      <c r="S56">
        <v>0</v>
      </c>
      <c r="T56">
        <v>0</v>
      </c>
      <c r="U56">
        <v>1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0.55019158348179265</v>
      </c>
      <c r="AF56">
        <v>1.4426317800383099E-2</v>
      </c>
      <c r="AG56">
        <v>2.622053523445167</v>
      </c>
      <c r="AH56" t="b">
        <v>1</v>
      </c>
      <c r="AJ56">
        <v>1</v>
      </c>
      <c r="AK56" t="s">
        <v>145</v>
      </c>
    </row>
    <row r="57" spans="1:37" x14ac:dyDescent="0.2">
      <c r="A57" s="5">
        <v>75</v>
      </c>
      <c r="B57" t="s">
        <v>71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1</v>
      </c>
      <c r="L57">
        <v>1</v>
      </c>
      <c r="M57">
        <v>1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1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0.61675277301718301</v>
      </c>
      <c r="AF57">
        <v>7.9230982780971338E-3</v>
      </c>
      <c r="AG57">
        <v>1.284647370021049</v>
      </c>
      <c r="AH57" t="b">
        <v>1</v>
      </c>
      <c r="AJ57">
        <v>1</v>
      </c>
      <c r="AK57" t="s">
        <v>146</v>
      </c>
    </row>
    <row r="58" spans="1:37" x14ac:dyDescent="0.2">
      <c r="A58" s="5">
        <v>76</v>
      </c>
      <c r="B58" t="s">
        <v>72</v>
      </c>
      <c r="C58">
        <v>1</v>
      </c>
      <c r="D58">
        <v>0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1</v>
      </c>
      <c r="L58">
        <v>1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1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0.6026146588475112</v>
      </c>
      <c r="AF58">
        <v>4.8842084080157992E-3</v>
      </c>
      <c r="AG58">
        <v>0.81050275434002106</v>
      </c>
      <c r="AH58" t="b">
        <v>1</v>
      </c>
      <c r="AJ58">
        <v>1</v>
      </c>
      <c r="AK58" t="s">
        <v>147</v>
      </c>
    </row>
    <row r="59" spans="1:37" x14ac:dyDescent="0.2">
      <c r="A59" s="5">
        <v>77</v>
      </c>
      <c r="B59" t="s">
        <v>73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1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0.55740778332360708</v>
      </c>
      <c r="AF59">
        <v>4.5110369876273987E-3</v>
      </c>
      <c r="AG59">
        <v>0.80928848189557556</v>
      </c>
      <c r="AH59" t="b">
        <v>1</v>
      </c>
      <c r="AJ59">
        <v>1</v>
      </c>
      <c r="AK59" t="s">
        <v>148</v>
      </c>
    </row>
    <row r="60" spans="1:37" x14ac:dyDescent="0.2">
      <c r="A60" s="5">
        <v>78</v>
      </c>
      <c r="B60" t="s">
        <v>74</v>
      </c>
      <c r="C60">
        <v>1</v>
      </c>
      <c r="D60">
        <v>0</v>
      </c>
      <c r="E60">
        <v>0</v>
      </c>
      <c r="F60">
        <v>1</v>
      </c>
      <c r="G60">
        <v>0</v>
      </c>
      <c r="H60">
        <v>1</v>
      </c>
      <c r="I60">
        <v>1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0.51851755897715401</v>
      </c>
      <c r="AF60">
        <v>4.6622578129600313E-3</v>
      </c>
      <c r="AG60">
        <v>0.89915138499011782</v>
      </c>
      <c r="AH60" t="b">
        <v>1</v>
      </c>
      <c r="AJ60">
        <v>1</v>
      </c>
      <c r="AK60" t="s">
        <v>149</v>
      </c>
    </row>
    <row r="61" spans="1:37" x14ac:dyDescent="0.2">
      <c r="A61" s="5">
        <v>79</v>
      </c>
      <c r="B61" t="s">
        <v>75</v>
      </c>
      <c r="C61">
        <v>1</v>
      </c>
      <c r="D61">
        <v>0</v>
      </c>
      <c r="E61">
        <v>0</v>
      </c>
      <c r="F61">
        <v>1</v>
      </c>
      <c r="G61">
        <v>0</v>
      </c>
      <c r="H61">
        <v>1</v>
      </c>
      <c r="I61">
        <v>1</v>
      </c>
      <c r="J61">
        <v>0</v>
      </c>
      <c r="K61">
        <v>1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0.47803306489143249</v>
      </c>
      <c r="AF61">
        <v>5.7174241468143519E-3</v>
      </c>
      <c r="AG61">
        <v>1.196031104692068</v>
      </c>
      <c r="AH61" t="b">
        <v>1</v>
      </c>
      <c r="AJ61">
        <v>2</v>
      </c>
      <c r="AK61" s="6" t="s">
        <v>101</v>
      </c>
    </row>
    <row r="62" spans="1:37" x14ac:dyDescent="0.2">
      <c r="A62" s="5">
        <v>80</v>
      </c>
      <c r="B62" t="s">
        <v>76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1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1</v>
      </c>
      <c r="W62">
        <v>0</v>
      </c>
      <c r="X62">
        <v>0</v>
      </c>
      <c r="Y62">
        <v>0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0.51120440056753791</v>
      </c>
      <c r="AF62">
        <v>1.268026751280985E-2</v>
      </c>
      <c r="AG62">
        <v>2.4804691623804969</v>
      </c>
      <c r="AH62" t="b">
        <v>1</v>
      </c>
      <c r="AJ62">
        <v>1</v>
      </c>
      <c r="AK62" t="s">
        <v>150</v>
      </c>
    </row>
    <row r="63" spans="1:37" x14ac:dyDescent="0.2">
      <c r="A63" s="5">
        <v>81</v>
      </c>
      <c r="B63" t="s">
        <v>77</v>
      </c>
      <c r="C63">
        <v>1</v>
      </c>
      <c r="D63">
        <v>0</v>
      </c>
      <c r="E63">
        <v>0</v>
      </c>
      <c r="F63">
        <v>1</v>
      </c>
      <c r="G63">
        <v>0</v>
      </c>
      <c r="H63">
        <v>1</v>
      </c>
      <c r="I63">
        <v>1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1</v>
      </c>
      <c r="W63">
        <v>0</v>
      </c>
      <c r="X63">
        <v>0</v>
      </c>
      <c r="Y63">
        <v>0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0.60589474464084003</v>
      </c>
      <c r="AF63">
        <v>2.2807897106579222E-2</v>
      </c>
      <c r="AG63">
        <v>3.76433321270994</v>
      </c>
      <c r="AH63" t="b">
        <v>1</v>
      </c>
      <c r="AJ63">
        <v>1</v>
      </c>
      <c r="AK63" t="s">
        <v>151</v>
      </c>
    </row>
    <row r="64" spans="1:37" x14ac:dyDescent="0.2">
      <c r="A64" s="5">
        <v>82</v>
      </c>
      <c r="B64" t="s">
        <v>78</v>
      </c>
      <c r="C64">
        <v>1</v>
      </c>
      <c r="D64">
        <v>0</v>
      </c>
      <c r="E64">
        <v>0</v>
      </c>
      <c r="F64">
        <v>1</v>
      </c>
      <c r="G64">
        <v>0</v>
      </c>
      <c r="H64">
        <v>1</v>
      </c>
      <c r="I64">
        <v>1</v>
      </c>
      <c r="J64">
        <v>0</v>
      </c>
      <c r="K64">
        <v>1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0.5069275588793426</v>
      </c>
      <c r="AF64">
        <v>6.6612852950861407E-3</v>
      </c>
      <c r="AG64">
        <v>1.3140507313928931</v>
      </c>
      <c r="AH64" t="b">
        <v>1</v>
      </c>
      <c r="AJ64">
        <v>1</v>
      </c>
      <c r="AK64" t="s">
        <v>152</v>
      </c>
    </row>
    <row r="65" spans="1:37" x14ac:dyDescent="0.2">
      <c r="A65" s="5">
        <v>83</v>
      </c>
      <c r="B65" t="s">
        <v>79</v>
      </c>
      <c r="C65">
        <v>1</v>
      </c>
      <c r="D65">
        <v>0</v>
      </c>
      <c r="E65">
        <v>0</v>
      </c>
      <c r="F65">
        <v>1</v>
      </c>
      <c r="G65">
        <v>0</v>
      </c>
      <c r="H65">
        <v>1</v>
      </c>
      <c r="I65">
        <v>1</v>
      </c>
      <c r="J65">
        <v>0</v>
      </c>
      <c r="K65">
        <v>0</v>
      </c>
      <c r="L65">
        <v>0</v>
      </c>
      <c r="M65">
        <v>1</v>
      </c>
      <c r="N65">
        <v>1</v>
      </c>
      <c r="O65">
        <v>0</v>
      </c>
      <c r="P65">
        <v>0</v>
      </c>
      <c r="Q65">
        <v>1</v>
      </c>
      <c r="R65">
        <v>0</v>
      </c>
      <c r="S65">
        <v>1</v>
      </c>
      <c r="T65">
        <v>0</v>
      </c>
      <c r="U65">
        <v>1</v>
      </c>
      <c r="V65">
        <v>1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0.51752629030030484</v>
      </c>
      <c r="AF65">
        <v>4.6090906849450084E-3</v>
      </c>
      <c r="AG65">
        <v>0.89060029825161013</v>
      </c>
      <c r="AH65" t="b">
        <v>1</v>
      </c>
      <c r="AJ65">
        <v>1</v>
      </c>
      <c r="AK65" t="s">
        <v>153</v>
      </c>
    </row>
    <row r="66" spans="1:37" x14ac:dyDescent="0.2">
      <c r="A66" s="5">
        <v>84</v>
      </c>
      <c r="B66" t="s">
        <v>80</v>
      </c>
      <c r="C66">
        <v>1</v>
      </c>
      <c r="D66">
        <v>0</v>
      </c>
      <c r="E66">
        <v>0</v>
      </c>
      <c r="F66">
        <v>1</v>
      </c>
      <c r="G66">
        <v>0</v>
      </c>
      <c r="H66">
        <v>1</v>
      </c>
      <c r="I66">
        <v>1</v>
      </c>
      <c r="J66">
        <v>1</v>
      </c>
      <c r="K66">
        <v>0</v>
      </c>
      <c r="L66">
        <v>0</v>
      </c>
      <c r="M66">
        <v>1</v>
      </c>
      <c r="N66">
        <v>1</v>
      </c>
      <c r="O66">
        <v>0</v>
      </c>
      <c r="P66">
        <v>0</v>
      </c>
      <c r="Q66">
        <v>1</v>
      </c>
      <c r="R66">
        <v>1</v>
      </c>
      <c r="S66">
        <v>1</v>
      </c>
      <c r="T66">
        <v>0</v>
      </c>
      <c r="U66">
        <v>1</v>
      </c>
      <c r="V66">
        <v>1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0.99335714738065184</v>
      </c>
      <c r="AF66">
        <v>0.13465811620461449</v>
      </c>
      <c r="AG66">
        <v>13.555861208598509</v>
      </c>
      <c r="AH66" t="b">
        <v>1</v>
      </c>
      <c r="AJ66">
        <v>1</v>
      </c>
      <c r="AK66" t="s">
        <v>154</v>
      </c>
    </row>
    <row r="67" spans="1:37" x14ac:dyDescent="0.2">
      <c r="A67" s="5">
        <v>85</v>
      </c>
      <c r="B67" t="s">
        <v>81</v>
      </c>
      <c r="C67">
        <v>1</v>
      </c>
      <c r="D67">
        <v>0</v>
      </c>
      <c r="E67">
        <v>0</v>
      </c>
      <c r="F67">
        <v>1</v>
      </c>
      <c r="G67">
        <v>1</v>
      </c>
      <c r="H67">
        <v>1</v>
      </c>
      <c r="I67">
        <v>1</v>
      </c>
      <c r="J67">
        <v>0</v>
      </c>
      <c r="K67">
        <v>0</v>
      </c>
      <c r="L67">
        <v>0</v>
      </c>
      <c r="M67">
        <v>1</v>
      </c>
      <c r="N67">
        <v>0</v>
      </c>
      <c r="O67">
        <v>1</v>
      </c>
      <c r="P67">
        <v>1</v>
      </c>
      <c r="Q67">
        <v>0</v>
      </c>
      <c r="R67">
        <v>0</v>
      </c>
      <c r="S67">
        <v>0</v>
      </c>
      <c r="T67">
        <v>1</v>
      </c>
      <c r="U67">
        <v>1</v>
      </c>
      <c r="V67">
        <v>1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0.62170323192955712</v>
      </c>
      <c r="AF67">
        <v>3.428724596226021E-2</v>
      </c>
      <c r="AG67">
        <v>5.5150503007430354</v>
      </c>
      <c r="AH67" t="b">
        <v>1</v>
      </c>
      <c r="AJ67">
        <v>1</v>
      </c>
      <c r="AK67" t="s">
        <v>155</v>
      </c>
    </row>
    <row r="68" spans="1:37" x14ac:dyDescent="0.2">
      <c r="A68" s="5">
        <v>86</v>
      </c>
      <c r="B68" t="s">
        <v>82</v>
      </c>
      <c r="C68">
        <v>1</v>
      </c>
      <c r="D68">
        <v>0</v>
      </c>
      <c r="E68">
        <v>0</v>
      </c>
      <c r="F68">
        <v>1</v>
      </c>
      <c r="G68">
        <v>0</v>
      </c>
      <c r="H68">
        <v>1</v>
      </c>
      <c r="I68">
        <v>1</v>
      </c>
      <c r="J68">
        <v>0</v>
      </c>
      <c r="K68">
        <v>1</v>
      </c>
      <c r="L68">
        <v>1</v>
      </c>
      <c r="M68">
        <v>0</v>
      </c>
      <c r="N68">
        <v>1</v>
      </c>
      <c r="O68">
        <v>0</v>
      </c>
      <c r="P68">
        <v>0</v>
      </c>
      <c r="Q68">
        <v>1</v>
      </c>
      <c r="R68">
        <v>0</v>
      </c>
      <c r="S68">
        <v>1</v>
      </c>
      <c r="T68">
        <v>0</v>
      </c>
      <c r="U68">
        <v>0</v>
      </c>
      <c r="V68">
        <v>0</v>
      </c>
      <c r="W68">
        <v>1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0.53130280669175689</v>
      </c>
      <c r="AF68">
        <v>1.082459485920721E-2</v>
      </c>
      <c r="AG68">
        <v>2.037368280925957</v>
      </c>
      <c r="AH68" t="b">
        <v>1</v>
      </c>
      <c r="AJ68">
        <v>1</v>
      </c>
      <c r="AK68" t="s">
        <v>156</v>
      </c>
    </row>
    <row r="69" spans="1:37" x14ac:dyDescent="0.2">
      <c r="A69" s="5">
        <v>87</v>
      </c>
      <c r="B69" t="s">
        <v>83</v>
      </c>
      <c r="C69">
        <v>1</v>
      </c>
      <c r="D69">
        <v>0</v>
      </c>
      <c r="E69">
        <v>0</v>
      </c>
      <c r="F69">
        <v>1</v>
      </c>
      <c r="G69">
        <v>0</v>
      </c>
      <c r="H69">
        <v>1</v>
      </c>
      <c r="I69">
        <v>1</v>
      </c>
      <c r="J69">
        <v>1</v>
      </c>
      <c r="K69">
        <v>1</v>
      </c>
      <c r="L69">
        <v>1</v>
      </c>
      <c r="M69">
        <v>0</v>
      </c>
      <c r="N69">
        <v>1</v>
      </c>
      <c r="O69">
        <v>0</v>
      </c>
      <c r="P69">
        <v>0</v>
      </c>
      <c r="Q69">
        <v>1</v>
      </c>
      <c r="R69">
        <v>1</v>
      </c>
      <c r="S69">
        <v>1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0.66887750517098477</v>
      </c>
      <c r="AF69">
        <v>1.0309744026150799E-2</v>
      </c>
      <c r="AG69">
        <v>1.5413500897320991</v>
      </c>
      <c r="AH69" t="b">
        <v>1</v>
      </c>
      <c r="AJ69">
        <v>1</v>
      </c>
      <c r="AK69" t="s">
        <v>157</v>
      </c>
    </row>
    <row r="70" spans="1:37" x14ac:dyDescent="0.2">
      <c r="A70" s="5">
        <v>88</v>
      </c>
      <c r="B70" t="s">
        <v>84</v>
      </c>
      <c r="C70">
        <v>1</v>
      </c>
      <c r="D70">
        <v>0</v>
      </c>
      <c r="E70">
        <v>0</v>
      </c>
      <c r="F70">
        <v>1</v>
      </c>
      <c r="G70">
        <v>1</v>
      </c>
      <c r="H70">
        <v>1</v>
      </c>
      <c r="I70">
        <v>1</v>
      </c>
      <c r="J70">
        <v>0</v>
      </c>
      <c r="K70">
        <v>1</v>
      </c>
      <c r="L70">
        <v>1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0.70982063701817666</v>
      </c>
      <c r="AF70">
        <v>1.8647182097790319E-2</v>
      </c>
      <c r="AG70">
        <v>2.6270273256809831</v>
      </c>
      <c r="AH70" t="b">
        <v>1</v>
      </c>
      <c r="AJ70">
        <v>1</v>
      </c>
      <c r="AK70" t="s">
        <v>158</v>
      </c>
    </row>
    <row r="71" spans="1:37" x14ac:dyDescent="0.2">
      <c r="A71" s="5">
        <v>89</v>
      </c>
      <c r="B71">
        <v>1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0.48747824394714961</v>
      </c>
      <c r="AF71">
        <v>2.2908287225334941E-2</v>
      </c>
      <c r="AG71">
        <v>4.6993455625516214</v>
      </c>
      <c r="AH71" t="b">
        <v>1</v>
      </c>
      <c r="AJ71">
        <v>1</v>
      </c>
      <c r="AK71" t="s">
        <v>159</v>
      </c>
    </row>
    <row r="72" spans="1:37" x14ac:dyDescent="0.2">
      <c r="A72" s="5">
        <v>90</v>
      </c>
      <c r="B72">
        <v>2</v>
      </c>
      <c r="C72">
        <v>1</v>
      </c>
      <c r="D72">
        <v>0</v>
      </c>
      <c r="E72">
        <v>0</v>
      </c>
      <c r="F72">
        <v>1</v>
      </c>
      <c r="G72">
        <v>0</v>
      </c>
      <c r="H72">
        <v>1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0.46263831419904311</v>
      </c>
      <c r="AF72">
        <v>3.9700339843523362E-3</v>
      </c>
      <c r="AG72">
        <v>0.85812909620889932</v>
      </c>
      <c r="AH72" t="b">
        <v>1</v>
      </c>
      <c r="AJ72">
        <v>1</v>
      </c>
      <c r="AK72" t="s">
        <v>160</v>
      </c>
    </row>
    <row r="73" spans="1:37" x14ac:dyDescent="0.2">
      <c r="A73" s="5">
        <v>91</v>
      </c>
      <c r="B73">
        <v>3</v>
      </c>
      <c r="C73">
        <v>1</v>
      </c>
      <c r="D73">
        <v>0</v>
      </c>
      <c r="E73">
        <v>0</v>
      </c>
      <c r="F73">
        <v>1</v>
      </c>
      <c r="G73">
        <v>0</v>
      </c>
      <c r="H73">
        <v>1</v>
      </c>
      <c r="I73">
        <v>1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0.45098501895393572</v>
      </c>
      <c r="AF73">
        <v>8.8015052671100522E-3</v>
      </c>
      <c r="AG73">
        <v>1.951618101977141</v>
      </c>
      <c r="AH73" t="b">
        <v>1</v>
      </c>
      <c r="AJ73">
        <v>1</v>
      </c>
      <c r="AK73" t="s">
        <v>161</v>
      </c>
    </row>
    <row r="74" spans="1:37" x14ac:dyDescent="0.2">
      <c r="A74" s="5">
        <v>92</v>
      </c>
      <c r="B74">
        <v>4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0.55008564679703764</v>
      </c>
      <c r="AF74">
        <v>5.8426504836833206E-4</v>
      </c>
      <c r="AG74">
        <v>0.106213469078917</v>
      </c>
      <c r="AH74" t="b">
        <v>1</v>
      </c>
      <c r="AJ74">
        <v>1</v>
      </c>
      <c r="AK74" t="s">
        <v>162</v>
      </c>
    </row>
    <row r="75" spans="1:37" x14ac:dyDescent="0.2">
      <c r="A75" s="5">
        <v>93</v>
      </c>
      <c r="B75">
        <v>5</v>
      </c>
      <c r="C75">
        <v>1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0.57416374668103443</v>
      </c>
      <c r="AF75">
        <v>3.4768403087800251E-3</v>
      </c>
      <c r="AG75">
        <v>0.60554856151715841</v>
      </c>
      <c r="AH75" t="b">
        <v>1</v>
      </c>
      <c r="AJ75">
        <v>1</v>
      </c>
      <c r="AK75" t="s">
        <v>163</v>
      </c>
    </row>
    <row r="76" spans="1:37" x14ac:dyDescent="0.2">
      <c r="A76" s="5">
        <v>94</v>
      </c>
      <c r="B76">
        <v>6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0.52537446318020464</v>
      </c>
      <c r="AF76">
        <v>7.6645624894044516E-3</v>
      </c>
      <c r="AG76">
        <v>1.458876102010974</v>
      </c>
      <c r="AH76" t="b">
        <v>1</v>
      </c>
      <c r="AJ76">
        <v>1</v>
      </c>
      <c r="AK76" t="s">
        <v>164</v>
      </c>
    </row>
    <row r="77" spans="1:37" x14ac:dyDescent="0.2">
      <c r="A77" s="5">
        <v>95</v>
      </c>
      <c r="B77">
        <v>7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0.59062697927855434</v>
      </c>
      <c r="AF77">
        <v>1.0539073370809121E-2</v>
      </c>
      <c r="AG77">
        <v>1.7843873951851139</v>
      </c>
      <c r="AH77" t="b">
        <v>1</v>
      </c>
      <c r="AJ77">
        <v>2</v>
      </c>
      <c r="AK77" s="6" t="s">
        <v>122</v>
      </c>
    </row>
    <row r="78" spans="1:37" x14ac:dyDescent="0.2">
      <c r="A78" s="5">
        <v>96</v>
      </c>
      <c r="B78">
        <v>8</v>
      </c>
      <c r="C78">
        <v>1</v>
      </c>
      <c r="D78">
        <v>0</v>
      </c>
      <c r="E78">
        <v>0</v>
      </c>
      <c r="F78">
        <v>0</v>
      </c>
      <c r="G78">
        <v>1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0.62629408615185944</v>
      </c>
      <c r="AF78">
        <v>1.253065730196808E-3</v>
      </c>
      <c r="AG78">
        <v>0.20007625138152321</v>
      </c>
      <c r="AH78" t="b">
        <v>1</v>
      </c>
      <c r="AJ78">
        <v>2</v>
      </c>
      <c r="AK78" s="6" t="s">
        <v>123</v>
      </c>
    </row>
    <row r="79" spans="1:37" x14ac:dyDescent="0.2">
      <c r="A79" s="5">
        <v>97</v>
      </c>
      <c r="B79">
        <v>9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1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0.54674039321791479</v>
      </c>
      <c r="AF79">
        <v>7.9876469566824305E-3</v>
      </c>
      <c r="AG79">
        <v>1.4609578980748159</v>
      </c>
      <c r="AH79" t="b">
        <v>1</v>
      </c>
      <c r="AJ79">
        <v>1</v>
      </c>
      <c r="AK79" t="s">
        <v>165</v>
      </c>
    </row>
    <row r="80" spans="1:37" x14ac:dyDescent="0.2">
      <c r="A80" s="5">
        <v>98</v>
      </c>
      <c r="B80">
        <v>10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0.46615780343952212</v>
      </c>
      <c r="AF80">
        <v>1.3037028380568001E-3</v>
      </c>
      <c r="AG80">
        <v>0.27966985180500969</v>
      </c>
      <c r="AH80" t="b">
        <v>1</v>
      </c>
      <c r="AJ80">
        <v>2</v>
      </c>
      <c r="AK80" s="6" t="s">
        <v>89</v>
      </c>
    </row>
    <row r="81" spans="1:37" x14ac:dyDescent="0.2">
      <c r="A81" s="5">
        <v>99</v>
      </c>
      <c r="B81">
        <v>11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1</v>
      </c>
      <c r="AB81">
        <v>0</v>
      </c>
      <c r="AC81">
        <v>0</v>
      </c>
      <c r="AD81">
        <v>0</v>
      </c>
      <c r="AE81">
        <v>0.42823239539703578</v>
      </c>
      <c r="AF81">
        <v>2.5050274942234299E-3</v>
      </c>
      <c r="AG81">
        <v>0.58496917121389036</v>
      </c>
      <c r="AH81" t="b">
        <v>1</v>
      </c>
      <c r="AJ81">
        <v>2</v>
      </c>
      <c r="AK81" s="6" t="s">
        <v>98</v>
      </c>
    </row>
    <row r="82" spans="1:37" x14ac:dyDescent="0.2">
      <c r="A82" s="5">
        <v>101</v>
      </c>
      <c r="B82">
        <v>13</v>
      </c>
      <c r="C82">
        <v>1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</v>
      </c>
      <c r="V82">
        <v>0</v>
      </c>
      <c r="W82">
        <v>1</v>
      </c>
      <c r="X82">
        <v>1</v>
      </c>
      <c r="Y82">
        <v>1</v>
      </c>
      <c r="Z82">
        <v>0</v>
      </c>
      <c r="AA82">
        <v>0</v>
      </c>
      <c r="AB82">
        <v>1</v>
      </c>
      <c r="AC82">
        <v>1</v>
      </c>
      <c r="AD82">
        <v>1</v>
      </c>
      <c r="AE82">
        <v>0.85443366393834763</v>
      </c>
      <c r="AF82">
        <v>5.4131337241158546E-3</v>
      </c>
      <c r="AG82">
        <v>0.63353469702551934</v>
      </c>
      <c r="AH82" t="b">
        <v>1</v>
      </c>
      <c r="AJ82">
        <v>1</v>
      </c>
      <c r="AK82" t="s">
        <v>166</v>
      </c>
    </row>
    <row r="83" spans="1:37" x14ac:dyDescent="0.2">
      <c r="A83" s="5">
        <v>102</v>
      </c>
      <c r="B83">
        <v>14</v>
      </c>
      <c r="C83">
        <v>1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</v>
      </c>
      <c r="V83">
        <v>0</v>
      </c>
      <c r="W83">
        <v>1</v>
      </c>
      <c r="X83">
        <v>1</v>
      </c>
      <c r="Y83">
        <v>1</v>
      </c>
      <c r="Z83">
        <v>1</v>
      </c>
      <c r="AA83">
        <v>1</v>
      </c>
      <c r="AB83">
        <v>0</v>
      </c>
      <c r="AC83">
        <v>0</v>
      </c>
      <c r="AD83">
        <v>0</v>
      </c>
      <c r="AE83">
        <v>0.52304775436448891</v>
      </c>
      <c r="AF83">
        <v>1.0548028526300379E-2</v>
      </c>
      <c r="AG83">
        <v>2.016647321068493</v>
      </c>
      <c r="AH83" t="b">
        <v>1</v>
      </c>
      <c r="AJ83">
        <v>1</v>
      </c>
      <c r="AK83" t="s">
        <v>167</v>
      </c>
    </row>
    <row r="84" spans="1:37" x14ac:dyDescent="0.2">
      <c r="A84" s="5">
        <v>103</v>
      </c>
      <c r="B84">
        <v>15</v>
      </c>
      <c r="C84">
        <v>1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</v>
      </c>
      <c r="V84">
        <v>0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0.76652893619289453</v>
      </c>
      <c r="AF84">
        <v>8.3570130085490121E-3</v>
      </c>
      <c r="AG84">
        <v>1.0902410351337339</v>
      </c>
      <c r="AH84" t="b">
        <v>1</v>
      </c>
      <c r="AJ84">
        <v>1</v>
      </c>
      <c r="AK84" t="s">
        <v>168</v>
      </c>
    </row>
    <row r="85" spans="1:37" x14ac:dyDescent="0.2">
      <c r="A85" s="5">
        <v>104</v>
      </c>
      <c r="B85">
        <v>1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0.41804663709628709</v>
      </c>
      <c r="AF85">
        <v>1.0867550787295991E-2</v>
      </c>
      <c r="AG85">
        <v>2.599602489995132</v>
      </c>
      <c r="AH85" t="b">
        <v>1</v>
      </c>
      <c r="AJ85">
        <v>1</v>
      </c>
      <c r="AK85" t="s">
        <v>169</v>
      </c>
    </row>
    <row r="86" spans="1:37" x14ac:dyDescent="0.2">
      <c r="A86" s="5">
        <v>105</v>
      </c>
      <c r="B86">
        <v>2</v>
      </c>
      <c r="C86">
        <v>0</v>
      </c>
      <c r="D86">
        <v>1</v>
      </c>
      <c r="E86">
        <v>0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0.89931199347118118</v>
      </c>
      <c r="AF86">
        <v>6.1023433734117916E-3</v>
      </c>
      <c r="AG86">
        <v>0.67855687655825125</v>
      </c>
      <c r="AH86" t="b">
        <v>1</v>
      </c>
      <c r="AJ86">
        <v>1</v>
      </c>
      <c r="AK86" t="s">
        <v>170</v>
      </c>
    </row>
    <row r="87" spans="1:37" x14ac:dyDescent="0.2">
      <c r="A87" s="5">
        <v>106</v>
      </c>
      <c r="B87">
        <v>3</v>
      </c>
      <c r="C87">
        <v>0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0.37226498676703168</v>
      </c>
      <c r="AF87">
        <v>1.0594244265274321E-3</v>
      </c>
      <c r="AG87">
        <v>0.28458879136823939</v>
      </c>
      <c r="AH87" t="b">
        <v>1</v>
      </c>
      <c r="AJ87">
        <v>1</v>
      </c>
      <c r="AK87" t="s">
        <v>171</v>
      </c>
    </row>
    <row r="88" spans="1:37" x14ac:dyDescent="0.2">
      <c r="A88" s="5">
        <v>107</v>
      </c>
      <c r="B88">
        <v>4</v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0.38479944699847007</v>
      </c>
      <c r="AF88">
        <v>1.861205107463319E-2</v>
      </c>
      <c r="AG88">
        <v>4.8368185608923673</v>
      </c>
      <c r="AH88" t="b">
        <v>1</v>
      </c>
      <c r="AJ88">
        <v>1</v>
      </c>
      <c r="AK88" t="s">
        <v>172</v>
      </c>
    </row>
    <row r="89" spans="1:37" x14ac:dyDescent="0.2">
      <c r="A89" s="5">
        <v>108</v>
      </c>
      <c r="B89">
        <v>5</v>
      </c>
      <c r="C89">
        <v>0</v>
      </c>
      <c r="D89">
        <v>1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  <c r="O89">
        <v>0</v>
      </c>
      <c r="P89">
        <v>0</v>
      </c>
      <c r="Q89">
        <v>1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0.37601430176682649</v>
      </c>
      <c r="AF89">
        <v>5.8191112966586144E-3</v>
      </c>
      <c r="AG89">
        <v>1.5475771185605469</v>
      </c>
      <c r="AH89" t="b">
        <v>1</v>
      </c>
      <c r="AJ89">
        <v>1</v>
      </c>
      <c r="AK89" t="s">
        <v>173</v>
      </c>
    </row>
    <row r="90" spans="1:37" x14ac:dyDescent="0.2">
      <c r="A90" s="5">
        <v>109</v>
      </c>
      <c r="B90">
        <v>6</v>
      </c>
      <c r="C90">
        <v>0</v>
      </c>
      <c r="D90">
        <v>1</v>
      </c>
      <c r="E90">
        <v>0</v>
      </c>
      <c r="F90">
        <v>0</v>
      </c>
      <c r="G90">
        <v>1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1</v>
      </c>
      <c r="R90">
        <v>1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0.54957423978481468</v>
      </c>
      <c r="AF90">
        <v>1.7191590218186718E-2</v>
      </c>
      <c r="AG90">
        <v>3.1281652183912532</v>
      </c>
      <c r="AH90" t="b">
        <v>1</v>
      </c>
      <c r="AJ90">
        <v>2</v>
      </c>
      <c r="AK90" s="6" t="s">
        <v>174</v>
      </c>
    </row>
    <row r="91" spans="1:37" x14ac:dyDescent="0.2">
      <c r="A91" s="5">
        <v>110</v>
      </c>
      <c r="B91">
        <v>7</v>
      </c>
      <c r="C91">
        <v>0</v>
      </c>
      <c r="D91">
        <v>1</v>
      </c>
      <c r="E91">
        <v>0</v>
      </c>
      <c r="F91">
        <v>0</v>
      </c>
      <c r="G91">
        <v>1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1</v>
      </c>
      <c r="O91">
        <v>1</v>
      </c>
      <c r="P91">
        <v>1</v>
      </c>
      <c r="Q91">
        <v>1</v>
      </c>
      <c r="R91">
        <v>1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0.44627380764766428</v>
      </c>
      <c r="AF91">
        <v>9.7612671309064123E-4</v>
      </c>
      <c r="AG91">
        <v>0.21872821043113941</v>
      </c>
      <c r="AH91" t="b">
        <v>1</v>
      </c>
      <c r="AJ91">
        <v>1</v>
      </c>
      <c r="AK91" t="s">
        <v>175</v>
      </c>
    </row>
    <row r="92" spans="1:37" x14ac:dyDescent="0.2">
      <c r="A92" s="5">
        <v>111</v>
      </c>
      <c r="B92">
        <v>8</v>
      </c>
      <c r="C92">
        <v>0</v>
      </c>
      <c r="D92">
        <v>1</v>
      </c>
      <c r="E92">
        <v>0</v>
      </c>
      <c r="F92">
        <v>0</v>
      </c>
      <c r="G92">
        <v>1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</v>
      </c>
      <c r="V92">
        <v>0</v>
      </c>
      <c r="W92">
        <v>1</v>
      </c>
      <c r="X92">
        <v>1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0.50884043407504731</v>
      </c>
      <c r="AF92">
        <v>7.9913216928039314E-3</v>
      </c>
      <c r="AG92">
        <v>1.570496595328609</v>
      </c>
      <c r="AH92" t="b">
        <v>1</v>
      </c>
      <c r="AJ92">
        <v>2</v>
      </c>
      <c r="AK92" s="6" t="s">
        <v>176</v>
      </c>
    </row>
    <row r="93" spans="1:37" x14ac:dyDescent="0.2">
      <c r="A93" s="5">
        <v>112</v>
      </c>
      <c r="B93">
        <v>9</v>
      </c>
      <c r="C93">
        <v>0</v>
      </c>
      <c r="D93">
        <v>1</v>
      </c>
      <c r="E93">
        <v>0</v>
      </c>
      <c r="F93">
        <v>0</v>
      </c>
      <c r="G93">
        <v>1</v>
      </c>
      <c r="H93">
        <v>0</v>
      </c>
      <c r="I93">
        <v>0</v>
      </c>
      <c r="J93">
        <v>1</v>
      </c>
      <c r="K93">
        <v>0</v>
      </c>
      <c r="L93">
        <v>0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0.66229907886707051</v>
      </c>
      <c r="AF93">
        <v>3.889109908174722E-3</v>
      </c>
      <c r="AG93">
        <v>0.58721354630712119</v>
      </c>
      <c r="AH93" t="b">
        <v>1</v>
      </c>
      <c r="AJ93">
        <v>2</v>
      </c>
      <c r="AK93" s="6" t="s">
        <v>177</v>
      </c>
    </row>
    <row r="94" spans="1:37" x14ac:dyDescent="0.2">
      <c r="A94" s="5">
        <v>114</v>
      </c>
      <c r="B94">
        <v>11</v>
      </c>
      <c r="C94">
        <v>0</v>
      </c>
      <c r="D94">
        <v>1</v>
      </c>
      <c r="E94">
        <v>0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0</v>
      </c>
      <c r="AC94">
        <v>0</v>
      </c>
      <c r="AD94">
        <v>0</v>
      </c>
      <c r="AE94">
        <v>0.84308337506646214</v>
      </c>
      <c r="AF94">
        <v>7.5839128856669486E-3</v>
      </c>
      <c r="AG94">
        <v>0.89954482675798142</v>
      </c>
      <c r="AH94" t="b">
        <v>1</v>
      </c>
      <c r="AJ94">
        <v>1</v>
      </c>
      <c r="AK94" t="s">
        <v>179</v>
      </c>
    </row>
    <row r="95" spans="1:37" x14ac:dyDescent="0.2">
      <c r="A95" s="5">
        <v>115</v>
      </c>
      <c r="B95">
        <v>12</v>
      </c>
      <c r="C95">
        <v>0</v>
      </c>
      <c r="D95">
        <v>1</v>
      </c>
      <c r="E95">
        <v>0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0</v>
      </c>
      <c r="AA95">
        <v>0</v>
      </c>
      <c r="AB95">
        <v>1</v>
      </c>
      <c r="AC95">
        <v>1</v>
      </c>
      <c r="AD95">
        <v>1</v>
      </c>
      <c r="AE95">
        <v>0.74140889376172603</v>
      </c>
      <c r="AF95">
        <v>1.2617656079738819E-3</v>
      </c>
      <c r="AG95">
        <v>0.17018484922294291</v>
      </c>
      <c r="AH95" t="b">
        <v>1</v>
      </c>
      <c r="AJ95">
        <v>1</v>
      </c>
      <c r="AK95" t="s">
        <v>180</v>
      </c>
    </row>
    <row r="96" spans="1:37" x14ac:dyDescent="0.2">
      <c r="A96" s="5">
        <v>116</v>
      </c>
      <c r="B96">
        <v>13</v>
      </c>
      <c r="C96">
        <v>0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  <c r="AA96">
        <v>1</v>
      </c>
      <c r="AB96">
        <v>0</v>
      </c>
      <c r="AC96">
        <v>0</v>
      </c>
      <c r="AD96">
        <v>0</v>
      </c>
      <c r="AE96">
        <v>0.36443633151377608</v>
      </c>
      <c r="AF96">
        <v>1.14185235790685E-3</v>
      </c>
      <c r="AG96">
        <v>0.31332012183414448</v>
      </c>
      <c r="AH96" t="b">
        <v>1</v>
      </c>
      <c r="AJ96">
        <v>1</v>
      </c>
      <c r="AK96" t="s">
        <v>181</v>
      </c>
    </row>
    <row r="97" spans="1:37" x14ac:dyDescent="0.2">
      <c r="A97" s="5">
        <v>117</v>
      </c>
      <c r="B97">
        <v>14</v>
      </c>
      <c r="C97">
        <v>0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1</v>
      </c>
      <c r="AD97">
        <v>1</v>
      </c>
      <c r="AE97">
        <v>0.4652064586147398</v>
      </c>
      <c r="AF97">
        <v>6.5188749716355073E-3</v>
      </c>
      <c r="AG97">
        <v>1.401286429050657</v>
      </c>
      <c r="AH97" t="b">
        <v>1</v>
      </c>
      <c r="AJ97">
        <v>1</v>
      </c>
      <c r="AK97" t="s">
        <v>182</v>
      </c>
    </row>
    <row r="98" spans="1:37" x14ac:dyDescent="0.2">
      <c r="A98" s="5">
        <v>118</v>
      </c>
      <c r="B98">
        <v>15</v>
      </c>
      <c r="C98">
        <v>0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0.37780105002636688</v>
      </c>
      <c r="AF98">
        <v>2.2318452511214939E-3</v>
      </c>
      <c r="AG98">
        <v>0.59074617473025359</v>
      </c>
      <c r="AH98" t="b">
        <v>1</v>
      </c>
      <c r="AJ98">
        <v>1</v>
      </c>
      <c r="AK98" t="s">
        <v>183</v>
      </c>
    </row>
    <row r="99" spans="1:37" x14ac:dyDescent="0.2">
      <c r="A99" s="5">
        <v>120</v>
      </c>
      <c r="B99">
        <v>17</v>
      </c>
      <c r="C99">
        <v>0</v>
      </c>
      <c r="D99">
        <v>1</v>
      </c>
      <c r="E99">
        <v>0</v>
      </c>
      <c r="F99">
        <v>1</v>
      </c>
      <c r="G99">
        <v>0</v>
      </c>
      <c r="H99">
        <v>1</v>
      </c>
      <c r="I99">
        <v>1</v>
      </c>
      <c r="J99">
        <v>0</v>
      </c>
      <c r="K99">
        <v>1</v>
      </c>
      <c r="L99">
        <v>1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1</v>
      </c>
      <c r="V99">
        <v>1</v>
      </c>
      <c r="W99">
        <v>1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0.51879691353610347</v>
      </c>
      <c r="AF99">
        <v>2.008972535661974E-2</v>
      </c>
      <c r="AG99">
        <v>3.8723679406048901</v>
      </c>
      <c r="AH99" t="b">
        <v>1</v>
      </c>
      <c r="AJ99">
        <v>2</v>
      </c>
      <c r="AK99" s="6" t="s">
        <v>185</v>
      </c>
    </row>
    <row r="100" spans="1:37" x14ac:dyDescent="0.2">
      <c r="A100" s="5">
        <v>121</v>
      </c>
      <c r="B100">
        <v>18</v>
      </c>
      <c r="C100">
        <v>0</v>
      </c>
      <c r="D100">
        <v>1</v>
      </c>
      <c r="E100">
        <v>0</v>
      </c>
      <c r="F100">
        <v>1</v>
      </c>
      <c r="G100">
        <v>0</v>
      </c>
      <c r="H100">
        <v>1</v>
      </c>
      <c r="I100">
        <v>1</v>
      </c>
      <c r="J100">
        <v>0</v>
      </c>
      <c r="K100">
        <v>1</v>
      </c>
      <c r="L100">
        <v>1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1</v>
      </c>
      <c r="V100">
        <v>1</v>
      </c>
      <c r="W100">
        <v>1</v>
      </c>
      <c r="X100">
        <v>1</v>
      </c>
      <c r="Y100">
        <v>0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0.38737666805601612</v>
      </c>
      <c r="AF100">
        <v>3.1432604308156459E-3</v>
      </c>
      <c r="AG100">
        <v>0.81142223835771099</v>
      </c>
      <c r="AH100" t="b">
        <v>1</v>
      </c>
      <c r="AJ100">
        <v>1</v>
      </c>
      <c r="AK100" t="s">
        <v>186</v>
      </c>
    </row>
    <row r="101" spans="1:37" x14ac:dyDescent="0.2">
      <c r="A101" s="5">
        <v>122</v>
      </c>
      <c r="B101">
        <v>19</v>
      </c>
      <c r="C101">
        <v>0</v>
      </c>
      <c r="D101">
        <v>1</v>
      </c>
      <c r="E101">
        <v>0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0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0.50219311314351334</v>
      </c>
      <c r="AF101">
        <v>2.0999593922924061E-2</v>
      </c>
      <c r="AG101">
        <v>4.1815774396975733</v>
      </c>
      <c r="AH101" t="b">
        <v>1</v>
      </c>
      <c r="AI101" t="s">
        <v>85</v>
      </c>
      <c r="AJ101">
        <v>1</v>
      </c>
      <c r="AK101" t="s">
        <v>187</v>
      </c>
    </row>
    <row r="102" spans="1:37" x14ac:dyDescent="0.2">
      <c r="A102" s="5">
        <v>123</v>
      </c>
      <c r="B102">
        <v>11</v>
      </c>
      <c r="C102">
        <v>0</v>
      </c>
      <c r="D102">
        <v>1</v>
      </c>
      <c r="E102">
        <v>0</v>
      </c>
      <c r="F102">
        <v>1</v>
      </c>
      <c r="G102">
        <v>0</v>
      </c>
      <c r="H102">
        <v>1</v>
      </c>
      <c r="I102">
        <v>1</v>
      </c>
      <c r="J102">
        <v>0</v>
      </c>
      <c r="K102">
        <v>1</v>
      </c>
      <c r="L102">
        <v>1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0.37477967269433088</v>
      </c>
      <c r="AF102">
        <v>4.8603070810243933E-3</v>
      </c>
      <c r="AG102">
        <v>1.2968438352280769</v>
      </c>
      <c r="AH102" t="b">
        <v>1</v>
      </c>
      <c r="AJ102">
        <v>2</v>
      </c>
      <c r="AK102" s="6" t="s">
        <v>188</v>
      </c>
    </row>
    <row r="103" spans="1:37" x14ac:dyDescent="0.2">
      <c r="A103" s="5">
        <v>124</v>
      </c>
      <c r="B103">
        <v>12</v>
      </c>
      <c r="C103">
        <v>0</v>
      </c>
      <c r="D103">
        <v>1</v>
      </c>
      <c r="E103">
        <v>0</v>
      </c>
      <c r="F103">
        <v>1</v>
      </c>
      <c r="G103">
        <v>1</v>
      </c>
      <c r="H103">
        <v>1</v>
      </c>
      <c r="I103">
        <v>1</v>
      </c>
      <c r="J103">
        <v>0</v>
      </c>
      <c r="K103">
        <v>1</v>
      </c>
      <c r="L103">
        <v>1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1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0.41077396951857359</v>
      </c>
      <c r="AF103">
        <v>2.1054633707947778E-3</v>
      </c>
      <c r="AG103">
        <v>0.51256007610764076</v>
      </c>
      <c r="AH103" t="b">
        <v>1</v>
      </c>
      <c r="AJ103">
        <v>1</v>
      </c>
      <c r="AK103" t="s">
        <v>189</v>
      </c>
    </row>
    <row r="104" spans="1:37" x14ac:dyDescent="0.2">
      <c r="A104" s="5">
        <v>125</v>
      </c>
      <c r="B104">
        <v>13</v>
      </c>
      <c r="C104">
        <v>0</v>
      </c>
      <c r="D104">
        <v>1</v>
      </c>
      <c r="E104">
        <v>0</v>
      </c>
      <c r="F104">
        <v>1</v>
      </c>
      <c r="G104">
        <v>1</v>
      </c>
      <c r="H104">
        <v>1</v>
      </c>
      <c r="I104">
        <v>1</v>
      </c>
      <c r="J104">
        <v>0</v>
      </c>
      <c r="K104">
        <v>1</v>
      </c>
      <c r="L104">
        <v>1</v>
      </c>
      <c r="M104">
        <v>1</v>
      </c>
      <c r="N104">
        <v>0</v>
      </c>
      <c r="O104">
        <v>1</v>
      </c>
      <c r="P104">
        <v>1</v>
      </c>
      <c r="Q104">
        <v>0</v>
      </c>
      <c r="R104">
        <v>0</v>
      </c>
      <c r="S104">
        <v>0</v>
      </c>
      <c r="T104">
        <v>1</v>
      </c>
      <c r="U104">
        <v>1</v>
      </c>
      <c r="V104">
        <v>1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0.59412662643901271</v>
      </c>
      <c r="AF104">
        <v>7.7382065490691748E-3</v>
      </c>
      <c r="AG104">
        <v>1.3024507242587799</v>
      </c>
      <c r="AH104" t="b">
        <v>1</v>
      </c>
      <c r="AJ104">
        <v>1</v>
      </c>
      <c r="AK104" t="s">
        <v>190</v>
      </c>
    </row>
    <row r="105" spans="1:37" x14ac:dyDescent="0.2">
      <c r="A105" s="5">
        <v>126</v>
      </c>
      <c r="B105">
        <v>14</v>
      </c>
      <c r="C105">
        <v>0</v>
      </c>
      <c r="D105">
        <v>1</v>
      </c>
      <c r="E105">
        <v>0</v>
      </c>
      <c r="F105">
        <v>1</v>
      </c>
      <c r="G105">
        <v>1</v>
      </c>
      <c r="H105">
        <v>1</v>
      </c>
      <c r="I105">
        <v>1</v>
      </c>
      <c r="J105">
        <v>0</v>
      </c>
      <c r="K105">
        <v>1</v>
      </c>
      <c r="L105">
        <v>1</v>
      </c>
      <c r="M105">
        <v>1</v>
      </c>
      <c r="N105">
        <v>0</v>
      </c>
      <c r="O105">
        <v>1</v>
      </c>
      <c r="P105">
        <v>1</v>
      </c>
      <c r="Q105">
        <v>1</v>
      </c>
      <c r="R105">
        <v>0</v>
      </c>
      <c r="S105">
        <v>0</v>
      </c>
      <c r="T105">
        <v>1</v>
      </c>
      <c r="U105">
        <v>1</v>
      </c>
      <c r="V105">
        <v>1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0.5754304709039082</v>
      </c>
      <c r="AF105">
        <v>4.3636082225206223E-3</v>
      </c>
      <c r="AG105">
        <v>0.75832067350658361</v>
      </c>
      <c r="AH105" t="b">
        <v>1</v>
      </c>
      <c r="AJ105">
        <v>2</v>
      </c>
      <c r="AK105" s="6" t="s">
        <v>191</v>
      </c>
    </row>
    <row r="106" spans="1:37" x14ac:dyDescent="0.2">
      <c r="A106" s="5">
        <v>127</v>
      </c>
      <c r="B106">
        <v>15</v>
      </c>
      <c r="C106">
        <v>0</v>
      </c>
      <c r="D106">
        <v>1</v>
      </c>
      <c r="E106">
        <v>0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0</v>
      </c>
      <c r="O106">
        <v>1</v>
      </c>
      <c r="P106">
        <v>1</v>
      </c>
      <c r="Q106">
        <v>1</v>
      </c>
      <c r="R106">
        <v>1</v>
      </c>
      <c r="S106">
        <v>0</v>
      </c>
      <c r="T106">
        <v>1</v>
      </c>
      <c r="U106">
        <v>1</v>
      </c>
      <c r="V106">
        <v>1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0.65646211861144355</v>
      </c>
      <c r="AF106">
        <v>2.997222992303717E-3</v>
      </c>
      <c r="AG106">
        <v>0.45657211700859118</v>
      </c>
      <c r="AH106" t="b">
        <v>1</v>
      </c>
      <c r="AJ106">
        <v>1</v>
      </c>
      <c r="AK106" t="s">
        <v>192</v>
      </c>
    </row>
    <row r="107" spans="1:37" x14ac:dyDescent="0.2">
      <c r="A107" s="5">
        <v>128</v>
      </c>
      <c r="B107">
        <v>16</v>
      </c>
      <c r="C107">
        <v>0</v>
      </c>
      <c r="D107">
        <v>1</v>
      </c>
      <c r="E107">
        <v>0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0</v>
      </c>
      <c r="T107">
        <v>1</v>
      </c>
      <c r="U107">
        <v>1</v>
      </c>
      <c r="V107">
        <v>1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0.65768316972727414</v>
      </c>
      <c r="AF107">
        <v>1.9966591062924839E-3</v>
      </c>
      <c r="AG107">
        <v>0.30358981318017492</v>
      </c>
      <c r="AH107" t="b">
        <v>1</v>
      </c>
      <c r="AJ107">
        <v>1</v>
      </c>
      <c r="AK107" t="s">
        <v>193</v>
      </c>
    </row>
    <row r="108" spans="1:37" x14ac:dyDescent="0.2">
      <c r="A108" s="5">
        <v>129</v>
      </c>
      <c r="B108">
        <v>17</v>
      </c>
      <c r="C108">
        <v>0</v>
      </c>
      <c r="D108">
        <v>1</v>
      </c>
      <c r="E108">
        <v>0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0.79560005800998912</v>
      </c>
      <c r="AF108">
        <v>2.391403548404538E-2</v>
      </c>
      <c r="AG108">
        <v>3.0057860407729038</v>
      </c>
      <c r="AH108" t="b">
        <v>1</v>
      </c>
      <c r="AJ108">
        <v>4</v>
      </c>
      <c r="AK108" s="6" t="s">
        <v>178</v>
      </c>
    </row>
    <row r="109" spans="1:37" x14ac:dyDescent="0.2">
      <c r="A109" s="5">
        <v>131</v>
      </c>
      <c r="B109">
        <v>19</v>
      </c>
      <c r="C109">
        <v>0</v>
      </c>
      <c r="D109">
        <v>1</v>
      </c>
      <c r="E109">
        <v>0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0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</v>
      </c>
      <c r="V109">
        <v>0</v>
      </c>
      <c r="W109">
        <v>1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0.49797023230172022</v>
      </c>
      <c r="AF109">
        <v>1.5172200397242661E-3</v>
      </c>
      <c r="AG109">
        <v>0.30468087072421268</v>
      </c>
      <c r="AH109" t="b">
        <v>1</v>
      </c>
      <c r="AJ109">
        <v>2</v>
      </c>
      <c r="AK109" s="6" t="s">
        <v>195</v>
      </c>
    </row>
    <row r="110" spans="1:37" x14ac:dyDescent="0.2">
      <c r="A110" s="5">
        <v>133</v>
      </c>
      <c r="B110">
        <v>21</v>
      </c>
      <c r="C110">
        <v>0</v>
      </c>
      <c r="D110">
        <v>1</v>
      </c>
      <c r="E110">
        <v>0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0</v>
      </c>
      <c r="L110">
        <v>0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0.66047464906016184</v>
      </c>
      <c r="AF110">
        <v>1.43344168732317E-2</v>
      </c>
      <c r="AG110">
        <v>2.1703205253417668</v>
      </c>
      <c r="AH110" t="b">
        <v>1</v>
      </c>
      <c r="AJ110">
        <v>1</v>
      </c>
      <c r="AK110" t="s">
        <v>197</v>
      </c>
    </row>
    <row r="111" spans="1:37" x14ac:dyDescent="0.2">
      <c r="A111" s="5">
        <v>136</v>
      </c>
      <c r="B111">
        <v>25</v>
      </c>
      <c r="C111">
        <v>0</v>
      </c>
      <c r="D111">
        <v>1</v>
      </c>
      <c r="E111">
        <v>0</v>
      </c>
      <c r="F111">
        <v>1</v>
      </c>
      <c r="G111">
        <v>1</v>
      </c>
      <c r="H111">
        <v>1</v>
      </c>
      <c r="I111">
        <v>1</v>
      </c>
      <c r="J111">
        <v>0</v>
      </c>
      <c r="K111">
        <v>1</v>
      </c>
      <c r="L111">
        <v>1</v>
      </c>
      <c r="M111">
        <v>0</v>
      </c>
      <c r="N111">
        <v>0</v>
      </c>
      <c r="O111">
        <v>1</v>
      </c>
      <c r="P111">
        <v>1</v>
      </c>
      <c r="Q111">
        <v>1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0.47544196233058977</v>
      </c>
      <c r="AF111">
        <v>4.549722821809263E-3</v>
      </c>
      <c r="AG111">
        <v>0.95694599599639407</v>
      </c>
      <c r="AH111" t="b">
        <v>1</v>
      </c>
      <c r="AJ111">
        <v>1</v>
      </c>
      <c r="AK111" t="s">
        <v>198</v>
      </c>
    </row>
    <row r="112" spans="1:37" x14ac:dyDescent="0.2">
      <c r="A112" s="5">
        <v>137</v>
      </c>
      <c r="B112">
        <v>26</v>
      </c>
      <c r="C112">
        <v>0</v>
      </c>
      <c r="D112">
        <v>1</v>
      </c>
      <c r="E112">
        <v>0</v>
      </c>
      <c r="F112">
        <v>1</v>
      </c>
      <c r="G112">
        <v>0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1</v>
      </c>
      <c r="S112">
        <v>1</v>
      </c>
      <c r="T112">
        <v>0</v>
      </c>
      <c r="U112">
        <v>0</v>
      </c>
      <c r="V112">
        <v>0</v>
      </c>
      <c r="W112">
        <v>1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0.42051762537220322</v>
      </c>
      <c r="AF112">
        <v>4.9684040093986763E-3</v>
      </c>
      <c r="AG112">
        <v>1.1814972095405289</v>
      </c>
      <c r="AH112" t="b">
        <v>1</v>
      </c>
      <c r="AJ112">
        <v>1</v>
      </c>
      <c r="AK112" t="s">
        <v>199</v>
      </c>
    </row>
    <row r="113" spans="1:37" x14ac:dyDescent="0.2">
      <c r="A113" s="5">
        <v>138</v>
      </c>
      <c r="B113">
        <v>27</v>
      </c>
      <c r="C113">
        <v>0</v>
      </c>
      <c r="D113">
        <v>1</v>
      </c>
      <c r="E113">
        <v>0</v>
      </c>
      <c r="F113">
        <v>1</v>
      </c>
      <c r="G113">
        <v>1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1</v>
      </c>
      <c r="P113">
        <v>1</v>
      </c>
      <c r="Q113">
        <v>1</v>
      </c>
      <c r="R113">
        <v>0</v>
      </c>
      <c r="S113">
        <v>0</v>
      </c>
      <c r="T113">
        <v>1</v>
      </c>
      <c r="U113">
        <v>1</v>
      </c>
      <c r="V113">
        <v>1</v>
      </c>
      <c r="W113">
        <v>0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0.47634224502734213</v>
      </c>
      <c r="AF113">
        <v>4.6185748684066828E-3</v>
      </c>
      <c r="AG113">
        <v>0.96959169937606016</v>
      </c>
      <c r="AH113" t="b">
        <v>1</v>
      </c>
      <c r="AJ113">
        <v>1</v>
      </c>
      <c r="AK113" t="s">
        <v>200</v>
      </c>
    </row>
    <row r="114" spans="1:37" x14ac:dyDescent="0.2">
      <c r="A114" s="5">
        <v>139</v>
      </c>
      <c r="B114">
        <v>28</v>
      </c>
      <c r="C114">
        <v>0</v>
      </c>
      <c r="D114">
        <v>1</v>
      </c>
      <c r="E114">
        <v>0</v>
      </c>
      <c r="F114">
        <v>1</v>
      </c>
      <c r="G114">
        <v>0</v>
      </c>
      <c r="H114">
        <v>1</v>
      </c>
      <c r="I114">
        <v>1</v>
      </c>
      <c r="J114">
        <v>1</v>
      </c>
      <c r="K114">
        <v>0</v>
      </c>
      <c r="L114">
        <v>0</v>
      </c>
      <c r="M114">
        <v>1</v>
      </c>
      <c r="N114">
        <v>1</v>
      </c>
      <c r="O114">
        <v>0</v>
      </c>
      <c r="P114">
        <v>0</v>
      </c>
      <c r="Q114">
        <v>0</v>
      </c>
      <c r="R114">
        <v>1</v>
      </c>
      <c r="S114">
        <v>1</v>
      </c>
      <c r="T114">
        <v>0</v>
      </c>
      <c r="U114">
        <v>1</v>
      </c>
      <c r="V114">
        <v>1</v>
      </c>
      <c r="W114">
        <v>1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0.54169092262751373</v>
      </c>
      <c r="AF114">
        <v>3.5391291986445257E-2</v>
      </c>
      <c r="AG114">
        <v>6.5334844111429922</v>
      </c>
      <c r="AH114" t="b">
        <v>1</v>
      </c>
      <c r="AJ114">
        <v>1</v>
      </c>
      <c r="AK114" t="s">
        <v>201</v>
      </c>
    </row>
    <row r="115" spans="1:37" x14ac:dyDescent="0.2">
      <c r="A115" s="5">
        <v>140</v>
      </c>
      <c r="B115">
        <v>29</v>
      </c>
      <c r="C115">
        <v>0</v>
      </c>
      <c r="D115">
        <v>1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1</v>
      </c>
      <c r="L115">
        <v>1</v>
      </c>
      <c r="M115">
        <v>1</v>
      </c>
      <c r="N115">
        <v>0</v>
      </c>
      <c r="O115">
        <v>1</v>
      </c>
      <c r="P115">
        <v>1</v>
      </c>
      <c r="Q115">
        <v>1</v>
      </c>
      <c r="R115">
        <v>0</v>
      </c>
      <c r="S115">
        <v>0</v>
      </c>
      <c r="T115">
        <v>1</v>
      </c>
      <c r="U115">
        <v>1</v>
      </c>
      <c r="V115">
        <v>1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0.56709068040631649</v>
      </c>
      <c r="AF115">
        <v>5.1552723590308257E-3</v>
      </c>
      <c r="AG115">
        <v>0.90907372262529673</v>
      </c>
      <c r="AH115" t="b">
        <v>1</v>
      </c>
      <c r="AJ115">
        <v>1</v>
      </c>
      <c r="AK115" t="s">
        <v>202</v>
      </c>
    </row>
    <row r="116" spans="1:37" x14ac:dyDescent="0.2">
      <c r="A116" s="5">
        <v>141</v>
      </c>
      <c r="B116">
        <v>30</v>
      </c>
      <c r="C116">
        <v>0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0</v>
      </c>
      <c r="P116">
        <v>0</v>
      </c>
      <c r="Q116">
        <v>0</v>
      </c>
      <c r="R116">
        <v>1</v>
      </c>
      <c r="S116">
        <v>1</v>
      </c>
      <c r="T116">
        <v>0</v>
      </c>
      <c r="U116">
        <v>1</v>
      </c>
      <c r="V116">
        <v>1</v>
      </c>
      <c r="W116">
        <v>1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0.52796488938131625</v>
      </c>
      <c r="AF116">
        <v>3.8137878283688489E-2</v>
      </c>
      <c r="AG116">
        <v>7.2235633563397563</v>
      </c>
      <c r="AH116" t="b">
        <v>1</v>
      </c>
      <c r="AJ116">
        <v>1</v>
      </c>
      <c r="AK116" t="s">
        <v>203</v>
      </c>
    </row>
    <row r="117" spans="1:37" x14ac:dyDescent="0.2">
      <c r="A117" s="5">
        <v>142</v>
      </c>
      <c r="B117" t="s">
        <v>35</v>
      </c>
      <c r="C117">
        <v>0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0.43041988497058781</v>
      </c>
      <c r="AF117">
        <v>2.6328187804412948E-3</v>
      </c>
      <c r="AG117">
        <v>0.61168614006325595</v>
      </c>
      <c r="AH117" t="b">
        <v>1</v>
      </c>
      <c r="AJ117">
        <v>1</v>
      </c>
      <c r="AK117" t="s">
        <v>204</v>
      </c>
    </row>
    <row r="118" spans="1:37" x14ac:dyDescent="0.2">
      <c r="A118" s="5">
        <v>143</v>
      </c>
      <c r="B118" t="s">
        <v>36</v>
      </c>
      <c r="C118">
        <v>0</v>
      </c>
      <c r="D118">
        <v>1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0.46823952256539558</v>
      </c>
      <c r="AF118">
        <v>1.8800045979499851E-2</v>
      </c>
      <c r="AG118">
        <v>4.0150489383078902</v>
      </c>
      <c r="AH118" t="b">
        <v>1</v>
      </c>
      <c r="AJ118">
        <v>1</v>
      </c>
      <c r="AK118" t="s">
        <v>205</v>
      </c>
    </row>
    <row r="119" spans="1:37" x14ac:dyDescent="0.2">
      <c r="A119" s="5">
        <v>145</v>
      </c>
      <c r="B119" t="s">
        <v>38</v>
      </c>
      <c r="C119">
        <v>0</v>
      </c>
      <c r="D119">
        <v>1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1</v>
      </c>
      <c r="K119">
        <v>1</v>
      </c>
      <c r="L119">
        <v>1</v>
      </c>
      <c r="M119">
        <v>0</v>
      </c>
      <c r="N119">
        <v>1</v>
      </c>
      <c r="O119">
        <v>0</v>
      </c>
      <c r="P119">
        <v>0</v>
      </c>
      <c r="Q119">
        <v>1</v>
      </c>
      <c r="R119">
        <v>1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0.47794791261416208</v>
      </c>
      <c r="AF119">
        <v>5.6408252427047709E-2</v>
      </c>
      <c r="AG119">
        <v>11.80217570540683</v>
      </c>
      <c r="AH119" t="b">
        <v>1</v>
      </c>
      <c r="AJ119">
        <v>1</v>
      </c>
      <c r="AK119" t="s">
        <v>206</v>
      </c>
    </row>
    <row r="120" spans="1:37" x14ac:dyDescent="0.2">
      <c r="A120" s="5">
        <v>146</v>
      </c>
      <c r="B120" t="s">
        <v>39</v>
      </c>
      <c r="C120">
        <v>0</v>
      </c>
      <c r="D120">
        <v>1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1</v>
      </c>
      <c r="K120">
        <v>1</v>
      </c>
      <c r="L120">
        <v>1</v>
      </c>
      <c r="M120">
        <v>0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0.49290239797995372</v>
      </c>
      <c r="AF120">
        <v>7.5193766450612504E-3</v>
      </c>
      <c r="AG120">
        <v>1.5255305463876161</v>
      </c>
      <c r="AH120" t="b">
        <v>1</v>
      </c>
      <c r="AJ120">
        <v>1</v>
      </c>
      <c r="AK120" t="s">
        <v>207</v>
      </c>
    </row>
    <row r="121" spans="1:37" x14ac:dyDescent="0.2">
      <c r="A121" s="5">
        <v>147</v>
      </c>
      <c r="B121" t="s">
        <v>40</v>
      </c>
      <c r="C121">
        <v>0</v>
      </c>
      <c r="D121">
        <v>1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0</v>
      </c>
      <c r="T121">
        <v>1</v>
      </c>
      <c r="U121">
        <v>1</v>
      </c>
      <c r="V121">
        <v>1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0.69596990353526222</v>
      </c>
      <c r="AF121">
        <v>1.9891376971380541E-2</v>
      </c>
      <c r="AG121">
        <v>2.858080050637235</v>
      </c>
      <c r="AH121" t="b">
        <v>1</v>
      </c>
      <c r="AJ121">
        <v>1</v>
      </c>
      <c r="AK121" t="s">
        <v>208</v>
      </c>
    </row>
    <row r="122" spans="1:37" x14ac:dyDescent="0.2">
      <c r="A122" s="5">
        <v>150</v>
      </c>
      <c r="B122" t="s">
        <v>43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1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0.39488524227189042</v>
      </c>
      <c r="AF122">
        <v>3.478291588400436E-2</v>
      </c>
      <c r="AG122">
        <v>8.8083605464433319</v>
      </c>
      <c r="AH122" t="b">
        <v>1</v>
      </c>
      <c r="AJ122">
        <v>1</v>
      </c>
      <c r="AK122" t="s">
        <v>209</v>
      </c>
    </row>
    <row r="123" spans="1:37" x14ac:dyDescent="0.2">
      <c r="A123" s="5">
        <v>151</v>
      </c>
      <c r="B123" t="s">
        <v>44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1</v>
      </c>
      <c r="R123">
        <v>1</v>
      </c>
      <c r="S123">
        <v>1</v>
      </c>
      <c r="T123">
        <v>0</v>
      </c>
      <c r="U123">
        <v>0</v>
      </c>
      <c r="V123">
        <v>0</v>
      </c>
      <c r="W123">
        <v>1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0.47787272865420638</v>
      </c>
      <c r="AF123">
        <v>5.7141767520572082E-2</v>
      </c>
      <c r="AG123">
        <v>11.95752845773303</v>
      </c>
      <c r="AH123" t="b">
        <v>1</v>
      </c>
      <c r="AJ123">
        <v>1</v>
      </c>
      <c r="AK123" t="s">
        <v>210</v>
      </c>
    </row>
    <row r="124" spans="1:37" x14ac:dyDescent="0.2">
      <c r="A124" s="5">
        <v>152</v>
      </c>
      <c r="B124" t="s">
        <v>45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0</v>
      </c>
      <c r="U124">
        <v>0</v>
      </c>
      <c r="V124">
        <v>0</v>
      </c>
      <c r="W124">
        <v>1</v>
      </c>
      <c r="X124">
        <v>1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0.42889313111913352</v>
      </c>
      <c r="AF124">
        <v>3.1540557466290318E-3</v>
      </c>
      <c r="AG124">
        <v>0.73539432501494895</v>
      </c>
      <c r="AH124" t="b">
        <v>1</v>
      </c>
      <c r="AJ124">
        <v>1</v>
      </c>
      <c r="AK124" t="s">
        <v>211</v>
      </c>
    </row>
    <row r="125" spans="1:37" x14ac:dyDescent="0.2">
      <c r="A125" s="5">
        <v>154</v>
      </c>
      <c r="B125" t="s">
        <v>47</v>
      </c>
      <c r="C125">
        <v>0</v>
      </c>
      <c r="D125">
        <v>1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1</v>
      </c>
      <c r="K125">
        <v>1</v>
      </c>
      <c r="L125">
        <v>1</v>
      </c>
      <c r="M125">
        <v>0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</v>
      </c>
      <c r="V125">
        <v>0</v>
      </c>
      <c r="W125">
        <v>1</v>
      </c>
      <c r="X125">
        <v>1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0.52302924778985693</v>
      </c>
      <c r="AF125">
        <v>3.2886241146487961E-3</v>
      </c>
      <c r="AG125">
        <v>0.62876485943097804</v>
      </c>
      <c r="AH125" t="b">
        <v>1</v>
      </c>
      <c r="AJ125">
        <v>2</v>
      </c>
      <c r="AK125" s="6" t="s">
        <v>194</v>
      </c>
    </row>
    <row r="126" spans="1:37" x14ac:dyDescent="0.2">
      <c r="A126" s="5">
        <v>156</v>
      </c>
      <c r="B126" t="s">
        <v>49</v>
      </c>
      <c r="C126">
        <v>0</v>
      </c>
      <c r="D126">
        <v>1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1</v>
      </c>
      <c r="K126">
        <v>1</v>
      </c>
      <c r="L126">
        <v>1</v>
      </c>
      <c r="M126">
        <v>0</v>
      </c>
      <c r="N126">
        <v>1</v>
      </c>
      <c r="O126">
        <v>0</v>
      </c>
      <c r="P126">
        <v>0</v>
      </c>
      <c r="Q126">
        <v>1</v>
      </c>
      <c r="R126">
        <v>1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0.57667143084760197</v>
      </c>
      <c r="AF126">
        <v>2.7955393491889912E-3</v>
      </c>
      <c r="AG126">
        <v>0.48477160470392261</v>
      </c>
      <c r="AH126" t="b">
        <v>1</v>
      </c>
      <c r="AJ126">
        <v>1</v>
      </c>
      <c r="AK126" t="s">
        <v>212</v>
      </c>
    </row>
    <row r="127" spans="1:37" x14ac:dyDescent="0.2">
      <c r="A127" s="5">
        <v>157</v>
      </c>
      <c r="B127" t="s">
        <v>50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0</v>
      </c>
      <c r="V127">
        <v>0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0.42899180896383587</v>
      </c>
      <c r="AF127">
        <v>1.434613613419675E-2</v>
      </c>
      <c r="AG127">
        <v>3.344151527938878</v>
      </c>
      <c r="AH127" t="b">
        <v>1</v>
      </c>
      <c r="AJ127">
        <v>1</v>
      </c>
      <c r="AK127" t="s">
        <v>213</v>
      </c>
    </row>
    <row r="128" spans="1:37" x14ac:dyDescent="0.2">
      <c r="A128" s="5">
        <v>158</v>
      </c>
      <c r="B128" t="s">
        <v>51</v>
      </c>
      <c r="C128">
        <v>0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0.44601601213380843</v>
      </c>
      <c r="AF128">
        <v>4.7617102736222383E-3</v>
      </c>
      <c r="AG128">
        <v>1.067609714467759</v>
      </c>
      <c r="AH128" t="b">
        <v>1</v>
      </c>
      <c r="AJ128">
        <v>1</v>
      </c>
      <c r="AK128" t="s">
        <v>214</v>
      </c>
    </row>
    <row r="129" spans="1:37" x14ac:dyDescent="0.2">
      <c r="A129" s="5">
        <v>159</v>
      </c>
      <c r="B129" t="s">
        <v>52</v>
      </c>
      <c r="C129">
        <v>0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1</v>
      </c>
      <c r="X129">
        <v>1</v>
      </c>
      <c r="Y129">
        <v>0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0.37553846609882519</v>
      </c>
      <c r="AF129">
        <v>1.00292724225162E-2</v>
      </c>
      <c r="AG129">
        <v>2.670637851483618</v>
      </c>
      <c r="AH129" t="b">
        <v>1</v>
      </c>
      <c r="AJ129">
        <v>1</v>
      </c>
      <c r="AK129" t="s">
        <v>215</v>
      </c>
    </row>
    <row r="130" spans="1:37" x14ac:dyDescent="0.2">
      <c r="A130" s="5">
        <v>161</v>
      </c>
      <c r="B130" t="s">
        <v>54</v>
      </c>
      <c r="C130">
        <v>0</v>
      </c>
      <c r="D130">
        <v>1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1</v>
      </c>
      <c r="N130">
        <v>0</v>
      </c>
      <c r="O130">
        <v>1</v>
      </c>
      <c r="P130">
        <v>1</v>
      </c>
      <c r="Q130">
        <v>0</v>
      </c>
      <c r="R130">
        <v>1</v>
      </c>
      <c r="S130">
        <v>0</v>
      </c>
      <c r="T130">
        <v>1</v>
      </c>
      <c r="U130">
        <v>1</v>
      </c>
      <c r="V130">
        <v>1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0.59985820636935139</v>
      </c>
      <c r="AF130">
        <v>1.0959715520701369E-2</v>
      </c>
      <c r="AG130">
        <v>1.82705102711442</v>
      </c>
      <c r="AH130" t="b">
        <v>1</v>
      </c>
      <c r="AJ130">
        <v>1</v>
      </c>
      <c r="AK130" t="s">
        <v>216</v>
      </c>
    </row>
    <row r="131" spans="1:37" x14ac:dyDescent="0.2">
      <c r="A131" s="5">
        <v>162</v>
      </c>
      <c r="B131" t="s">
        <v>55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0</v>
      </c>
      <c r="P131">
        <v>0</v>
      </c>
      <c r="Q131">
        <v>1</v>
      </c>
      <c r="R131">
        <v>1</v>
      </c>
      <c r="S131">
        <v>1</v>
      </c>
      <c r="T131">
        <v>0</v>
      </c>
      <c r="U131">
        <v>1</v>
      </c>
      <c r="V131">
        <v>1</v>
      </c>
      <c r="W131">
        <v>1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0.53848705119736462</v>
      </c>
      <c r="AF131">
        <v>5.201109430586915E-2</v>
      </c>
      <c r="AG131">
        <v>9.6587455891871024</v>
      </c>
      <c r="AH131" t="b">
        <v>1</v>
      </c>
      <c r="AJ131">
        <v>1</v>
      </c>
      <c r="AK131" t="s">
        <v>217</v>
      </c>
    </row>
    <row r="132" spans="1:37" x14ac:dyDescent="0.2">
      <c r="A132" s="5">
        <v>163</v>
      </c>
      <c r="B132" t="s">
        <v>56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0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0.63273350202314915</v>
      </c>
      <c r="AF132">
        <v>1.596238906689508E-2</v>
      </c>
      <c r="AG132">
        <v>2.522766538496183</v>
      </c>
      <c r="AH132" t="b">
        <v>1</v>
      </c>
      <c r="AJ132">
        <v>1</v>
      </c>
      <c r="AK132" t="s">
        <v>218</v>
      </c>
    </row>
    <row r="133" spans="1:37" x14ac:dyDescent="0.2">
      <c r="A133" s="5">
        <v>164</v>
      </c>
      <c r="B133" t="s">
        <v>57</v>
      </c>
      <c r="C133">
        <v>0</v>
      </c>
      <c r="D133">
        <v>1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0.75080428815478173</v>
      </c>
      <c r="AF133">
        <v>5.4052229013784444E-3</v>
      </c>
      <c r="AG133">
        <v>0.71992435134629029</v>
      </c>
      <c r="AH133" t="b">
        <v>1</v>
      </c>
      <c r="AJ133">
        <v>4</v>
      </c>
      <c r="AK133" s="6" t="s">
        <v>196</v>
      </c>
    </row>
    <row r="134" spans="1:37" x14ac:dyDescent="0.2">
      <c r="A134" s="5">
        <v>166</v>
      </c>
      <c r="B134" t="s">
        <v>59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0</v>
      </c>
      <c r="P134">
        <v>0</v>
      </c>
      <c r="Q134">
        <v>1</v>
      </c>
      <c r="R134">
        <v>1</v>
      </c>
      <c r="S134">
        <v>1</v>
      </c>
      <c r="T134">
        <v>0</v>
      </c>
      <c r="U134">
        <v>1</v>
      </c>
      <c r="V134">
        <v>1</v>
      </c>
      <c r="W134">
        <v>1</v>
      </c>
      <c r="X134">
        <v>1</v>
      </c>
      <c r="Y134">
        <v>0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0.64428759110124734</v>
      </c>
      <c r="AF134">
        <v>2.9600093819201059E-2</v>
      </c>
      <c r="AG134">
        <v>4.5942362119076599</v>
      </c>
      <c r="AH134" t="b">
        <v>1</v>
      </c>
      <c r="AJ134">
        <v>1</v>
      </c>
      <c r="AK134" t="s">
        <v>219</v>
      </c>
    </row>
    <row r="135" spans="1:37" x14ac:dyDescent="0.2">
      <c r="A135" s="5">
        <v>169</v>
      </c>
      <c r="B135" t="s">
        <v>62</v>
      </c>
      <c r="C135">
        <v>0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1</v>
      </c>
      <c r="J135">
        <v>0</v>
      </c>
      <c r="K135">
        <v>1</v>
      </c>
      <c r="L135">
        <v>1</v>
      </c>
      <c r="M135">
        <v>1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1</v>
      </c>
      <c r="T135">
        <v>0</v>
      </c>
      <c r="U135">
        <v>1</v>
      </c>
      <c r="V135">
        <v>1</v>
      </c>
      <c r="W135">
        <v>1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0.58678303441002366</v>
      </c>
      <c r="AF135">
        <v>3.0703944482479682E-2</v>
      </c>
      <c r="AG135">
        <v>5.2325889949000874</v>
      </c>
      <c r="AH135" t="b">
        <v>1</v>
      </c>
      <c r="AJ135">
        <v>1</v>
      </c>
      <c r="AK135" t="s">
        <v>220</v>
      </c>
    </row>
    <row r="136" spans="1:37" x14ac:dyDescent="0.2">
      <c r="A136" s="5">
        <v>170</v>
      </c>
      <c r="B136" t="s">
        <v>63</v>
      </c>
      <c r="C136">
        <v>0</v>
      </c>
      <c r="D136">
        <v>1</v>
      </c>
      <c r="E136">
        <v>0</v>
      </c>
      <c r="F136">
        <v>1</v>
      </c>
      <c r="G136">
        <v>0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0</v>
      </c>
      <c r="P136">
        <v>0</v>
      </c>
      <c r="Q136">
        <v>1</v>
      </c>
      <c r="R136">
        <v>1</v>
      </c>
      <c r="S136">
        <v>1</v>
      </c>
      <c r="T136">
        <v>0</v>
      </c>
      <c r="U136">
        <v>1</v>
      </c>
      <c r="V136">
        <v>1</v>
      </c>
      <c r="W136">
        <v>1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0.50431290507504811</v>
      </c>
      <c r="AF136">
        <v>4.2843730899831567E-2</v>
      </c>
      <c r="AG136">
        <v>8.4954659039422911</v>
      </c>
      <c r="AH136" t="b">
        <v>1</v>
      </c>
      <c r="AJ136">
        <v>1</v>
      </c>
      <c r="AK136" t="s">
        <v>221</v>
      </c>
    </row>
    <row r="137" spans="1:37" x14ac:dyDescent="0.2">
      <c r="A137" s="5">
        <v>171</v>
      </c>
      <c r="B137" t="s">
        <v>64</v>
      </c>
      <c r="C137">
        <v>0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0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0.70395331046938281</v>
      </c>
      <c r="AF137">
        <v>2.195615167210585E-2</v>
      </c>
      <c r="AG137">
        <v>3.118978396090772</v>
      </c>
      <c r="AH137" t="b">
        <v>1</v>
      </c>
      <c r="AJ137">
        <v>1</v>
      </c>
      <c r="AK137" t="s">
        <v>222</v>
      </c>
    </row>
    <row r="138" spans="1:37" x14ac:dyDescent="0.2">
      <c r="A138" s="5">
        <v>172</v>
      </c>
      <c r="B138" t="s">
        <v>66</v>
      </c>
      <c r="C138">
        <v>0</v>
      </c>
      <c r="D138">
        <v>1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1</v>
      </c>
      <c r="L138">
        <v>1</v>
      </c>
      <c r="M138">
        <v>1</v>
      </c>
      <c r="N138">
        <v>0</v>
      </c>
      <c r="O138">
        <v>1</v>
      </c>
      <c r="P138">
        <v>1</v>
      </c>
      <c r="Q138">
        <v>0</v>
      </c>
      <c r="R138">
        <v>0</v>
      </c>
      <c r="S138">
        <v>0</v>
      </c>
      <c r="T138">
        <v>1</v>
      </c>
      <c r="U138">
        <v>1</v>
      </c>
      <c r="V138">
        <v>1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0.63260583408146709</v>
      </c>
      <c r="AF138">
        <v>1.2068605580688729E-2</v>
      </c>
      <c r="AG138">
        <v>1.9077607145707309</v>
      </c>
      <c r="AH138" t="b">
        <v>1</v>
      </c>
      <c r="AJ138">
        <v>1</v>
      </c>
      <c r="AK138" t="s">
        <v>223</v>
      </c>
    </row>
    <row r="139" spans="1:37" x14ac:dyDescent="0.2">
      <c r="A139" s="5">
        <v>173</v>
      </c>
      <c r="B139" t="s">
        <v>67</v>
      </c>
      <c r="C139">
        <v>0</v>
      </c>
      <c r="D139">
        <v>1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1</v>
      </c>
      <c r="L139">
        <v>1</v>
      </c>
      <c r="M139">
        <v>1</v>
      </c>
      <c r="N139">
        <v>0</v>
      </c>
      <c r="O139">
        <v>1</v>
      </c>
      <c r="P139">
        <v>1</v>
      </c>
      <c r="Q139">
        <v>0</v>
      </c>
      <c r="R139">
        <v>0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0.71244685290575671</v>
      </c>
      <c r="AF139">
        <v>6.8565330153830539E-2</v>
      </c>
      <c r="AG139">
        <v>9.6239221036885461</v>
      </c>
      <c r="AH139" t="b">
        <v>1</v>
      </c>
      <c r="AJ139">
        <v>1</v>
      </c>
      <c r="AK139" t="s">
        <v>224</v>
      </c>
    </row>
    <row r="140" spans="1:37" x14ac:dyDescent="0.2">
      <c r="A140" s="5">
        <v>174</v>
      </c>
      <c r="B140" t="s">
        <v>68</v>
      </c>
      <c r="C140">
        <v>0</v>
      </c>
      <c r="D140">
        <v>1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0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0.61516241216400336</v>
      </c>
      <c r="AF140">
        <v>1.9711639632541501E-2</v>
      </c>
      <c r="AG140">
        <v>3.2042984491201891</v>
      </c>
      <c r="AH140" t="b">
        <v>1</v>
      </c>
      <c r="AJ140">
        <v>1</v>
      </c>
      <c r="AK140" t="s">
        <v>225</v>
      </c>
    </row>
    <row r="141" spans="1:37" x14ac:dyDescent="0.2">
      <c r="A141" s="5">
        <v>175</v>
      </c>
      <c r="B141" t="s">
        <v>69</v>
      </c>
      <c r="C141">
        <v>0</v>
      </c>
      <c r="D141">
        <v>1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1</v>
      </c>
      <c r="L141">
        <v>1</v>
      </c>
      <c r="M141">
        <v>1</v>
      </c>
      <c r="N141">
        <v>0</v>
      </c>
      <c r="O141">
        <v>1</v>
      </c>
      <c r="P141">
        <v>1</v>
      </c>
      <c r="Q141">
        <v>0</v>
      </c>
      <c r="R141">
        <v>0</v>
      </c>
      <c r="S141">
        <v>0</v>
      </c>
      <c r="T141">
        <v>1</v>
      </c>
      <c r="U141">
        <v>1</v>
      </c>
      <c r="V141">
        <v>1</v>
      </c>
      <c r="W141">
        <v>0</v>
      </c>
      <c r="X141">
        <v>0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0.62418955267529463</v>
      </c>
      <c r="AF141">
        <v>1.5042595441486161E-2</v>
      </c>
      <c r="AG141">
        <v>2.409940278079497</v>
      </c>
      <c r="AH141" t="b">
        <v>1</v>
      </c>
      <c r="AJ141">
        <v>1</v>
      </c>
      <c r="AK141" t="s">
        <v>226</v>
      </c>
    </row>
    <row r="142" spans="1:37" x14ac:dyDescent="0.2">
      <c r="A142" s="5">
        <v>176</v>
      </c>
      <c r="B142" t="s">
        <v>70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0</v>
      </c>
      <c r="P142">
        <v>0</v>
      </c>
      <c r="Q142">
        <v>1</v>
      </c>
      <c r="R142">
        <v>1</v>
      </c>
      <c r="S142">
        <v>0</v>
      </c>
      <c r="T142">
        <v>0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0.45608775540731228</v>
      </c>
      <c r="AF142">
        <v>2.280717791957405E-2</v>
      </c>
      <c r="AG142">
        <v>5.0006117570961637</v>
      </c>
      <c r="AH142" t="b">
        <v>1</v>
      </c>
      <c r="AJ142">
        <v>1</v>
      </c>
      <c r="AK142" t="s">
        <v>227</v>
      </c>
    </row>
    <row r="143" spans="1:37" x14ac:dyDescent="0.2">
      <c r="A143" s="5">
        <v>177</v>
      </c>
      <c r="B143" t="s">
        <v>71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1</v>
      </c>
      <c r="L143">
        <v>1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1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0.50523394851192993</v>
      </c>
      <c r="AF143">
        <v>6.3001400870721355E-2</v>
      </c>
      <c r="AG143">
        <v>12.46974813475617</v>
      </c>
      <c r="AH143" t="b">
        <v>1</v>
      </c>
      <c r="AJ143">
        <v>1</v>
      </c>
      <c r="AK143" t="s">
        <v>228</v>
      </c>
    </row>
    <row r="144" spans="1:37" x14ac:dyDescent="0.2">
      <c r="A144" s="5">
        <v>178</v>
      </c>
      <c r="B144" t="s">
        <v>72</v>
      </c>
      <c r="C144">
        <v>0</v>
      </c>
      <c r="D144">
        <v>1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1</v>
      </c>
      <c r="L144">
        <v>1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1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0.52156112741798444</v>
      </c>
      <c r="AF144">
        <v>1.784092842334572E-3</v>
      </c>
      <c r="AG144">
        <v>0.34206783223412701</v>
      </c>
      <c r="AH144" t="b">
        <v>1</v>
      </c>
      <c r="AJ144">
        <v>1</v>
      </c>
      <c r="AK144" t="s">
        <v>229</v>
      </c>
    </row>
    <row r="145" spans="1:37" x14ac:dyDescent="0.2">
      <c r="A145" s="5">
        <v>179</v>
      </c>
      <c r="B145" t="s">
        <v>73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1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0.45858395315965289</v>
      </c>
      <c r="AF145">
        <v>2.341325267664297E-2</v>
      </c>
      <c r="AG145">
        <v>5.1055542862599479</v>
      </c>
      <c r="AH145" t="b">
        <v>1</v>
      </c>
      <c r="AJ145">
        <v>1</v>
      </c>
      <c r="AK145" t="s">
        <v>230</v>
      </c>
    </row>
    <row r="146" spans="1:37" x14ac:dyDescent="0.2">
      <c r="A146" s="5">
        <v>180</v>
      </c>
      <c r="B146" t="s">
        <v>74</v>
      </c>
      <c r="C146">
        <v>0</v>
      </c>
      <c r="D146">
        <v>1</v>
      </c>
      <c r="E146">
        <v>0</v>
      </c>
      <c r="F146">
        <v>1</v>
      </c>
      <c r="G146">
        <v>0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0.49386515953610299</v>
      </c>
      <c r="AF146">
        <v>3.6606054444857259E-3</v>
      </c>
      <c r="AG146">
        <v>0.74121556740795458</v>
      </c>
      <c r="AH146" t="b">
        <v>1</v>
      </c>
      <c r="AJ146">
        <v>1</v>
      </c>
      <c r="AK146" t="s">
        <v>231</v>
      </c>
    </row>
    <row r="147" spans="1:37" x14ac:dyDescent="0.2">
      <c r="A147" s="5">
        <v>181</v>
      </c>
      <c r="B147" t="s">
        <v>75</v>
      </c>
      <c r="C147">
        <v>0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1</v>
      </c>
      <c r="J147">
        <v>0</v>
      </c>
      <c r="K147">
        <v>1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0.45286894161986169</v>
      </c>
      <c r="AF147">
        <v>6.9406696631654288E-3</v>
      </c>
      <c r="AG147">
        <v>1.532600058272803</v>
      </c>
      <c r="AH147" t="b">
        <v>1</v>
      </c>
      <c r="AJ147">
        <v>2</v>
      </c>
      <c r="AK147" s="6" t="s">
        <v>184</v>
      </c>
    </row>
    <row r="148" spans="1:37" x14ac:dyDescent="0.2">
      <c r="A148" s="5">
        <v>182</v>
      </c>
      <c r="B148" t="s">
        <v>76</v>
      </c>
      <c r="C148">
        <v>0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1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0.55974094223797299</v>
      </c>
      <c r="AF148">
        <v>2.0826000064980432E-2</v>
      </c>
      <c r="AG148">
        <v>3.7206497673215209</v>
      </c>
      <c r="AH148" t="b">
        <v>1</v>
      </c>
      <c r="AJ148">
        <v>1</v>
      </c>
      <c r="AK148" t="s">
        <v>232</v>
      </c>
    </row>
    <row r="149" spans="1:37" x14ac:dyDescent="0.2">
      <c r="A149" s="5">
        <v>183</v>
      </c>
      <c r="B149" t="s">
        <v>77</v>
      </c>
      <c r="C149">
        <v>0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1</v>
      </c>
      <c r="W149">
        <v>0</v>
      </c>
      <c r="X149">
        <v>0</v>
      </c>
      <c r="Y149">
        <v>0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0.47451338209236887</v>
      </c>
      <c r="AF149">
        <v>4.7540289840916371E-2</v>
      </c>
      <c r="AG149">
        <v>10.01874586366506</v>
      </c>
      <c r="AH149" t="b">
        <v>1</v>
      </c>
      <c r="AJ149">
        <v>1</v>
      </c>
      <c r="AK149" t="s">
        <v>233</v>
      </c>
    </row>
    <row r="150" spans="1:37" x14ac:dyDescent="0.2">
      <c r="A150" s="5">
        <v>184</v>
      </c>
      <c r="B150" t="s">
        <v>78</v>
      </c>
      <c r="C150">
        <v>0</v>
      </c>
      <c r="D150">
        <v>1</v>
      </c>
      <c r="E150">
        <v>0</v>
      </c>
      <c r="F150">
        <v>1</v>
      </c>
      <c r="G150">
        <v>0</v>
      </c>
      <c r="H150">
        <v>1</v>
      </c>
      <c r="I150">
        <v>1</v>
      </c>
      <c r="J150">
        <v>0</v>
      </c>
      <c r="K150">
        <v>1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0.41648088222923768</v>
      </c>
      <c r="AF150">
        <v>1.9356047120482351E-2</v>
      </c>
      <c r="AG150">
        <v>4.6475235590354123</v>
      </c>
      <c r="AH150" t="b">
        <v>1</v>
      </c>
      <c r="AJ150">
        <v>1</v>
      </c>
      <c r="AK150" t="s">
        <v>234</v>
      </c>
    </row>
    <row r="151" spans="1:37" x14ac:dyDescent="0.2">
      <c r="A151" s="5">
        <v>185</v>
      </c>
      <c r="B151" t="s">
        <v>79</v>
      </c>
      <c r="C151">
        <v>0</v>
      </c>
      <c r="D151">
        <v>1</v>
      </c>
      <c r="E151">
        <v>0</v>
      </c>
      <c r="F151">
        <v>1</v>
      </c>
      <c r="G151">
        <v>0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1</v>
      </c>
      <c r="N151">
        <v>1</v>
      </c>
      <c r="O151">
        <v>0</v>
      </c>
      <c r="P151">
        <v>0</v>
      </c>
      <c r="Q151">
        <v>1</v>
      </c>
      <c r="R151">
        <v>0</v>
      </c>
      <c r="S151">
        <v>1</v>
      </c>
      <c r="T151">
        <v>0</v>
      </c>
      <c r="U151">
        <v>1</v>
      </c>
      <c r="V151">
        <v>1</v>
      </c>
      <c r="W151">
        <v>1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0.49444661565086462</v>
      </c>
      <c r="AF151">
        <v>5.4006589267368198E-2</v>
      </c>
      <c r="AG151">
        <v>10.922633011913049</v>
      </c>
      <c r="AH151" t="b">
        <v>1</v>
      </c>
      <c r="AJ151">
        <v>1</v>
      </c>
      <c r="AK151" t="s">
        <v>235</v>
      </c>
    </row>
    <row r="152" spans="1:37" x14ac:dyDescent="0.2">
      <c r="A152" s="5">
        <v>186</v>
      </c>
      <c r="B152" t="s">
        <v>80</v>
      </c>
      <c r="C152">
        <v>0</v>
      </c>
      <c r="D152">
        <v>1</v>
      </c>
      <c r="E152">
        <v>0</v>
      </c>
      <c r="F152">
        <v>1</v>
      </c>
      <c r="G152">
        <v>0</v>
      </c>
      <c r="H152">
        <v>1</v>
      </c>
      <c r="I152">
        <v>1</v>
      </c>
      <c r="J152">
        <v>1</v>
      </c>
      <c r="K152">
        <v>0</v>
      </c>
      <c r="L152">
        <v>0</v>
      </c>
      <c r="M152">
        <v>1</v>
      </c>
      <c r="N152">
        <v>1</v>
      </c>
      <c r="O152">
        <v>0</v>
      </c>
      <c r="P152">
        <v>0</v>
      </c>
      <c r="Q152">
        <v>1</v>
      </c>
      <c r="R152">
        <v>1</v>
      </c>
      <c r="S152">
        <v>1</v>
      </c>
      <c r="T152">
        <v>0</v>
      </c>
      <c r="U152">
        <v>1</v>
      </c>
      <c r="V152">
        <v>1</v>
      </c>
      <c r="W152">
        <v>1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0.42128492299181097</v>
      </c>
      <c r="AF152">
        <v>1.027008251534612E-2</v>
      </c>
      <c r="AG152">
        <v>2.4377996825549229</v>
      </c>
      <c r="AH152" t="b">
        <v>1</v>
      </c>
      <c r="AJ152">
        <v>1</v>
      </c>
      <c r="AK152" t="s">
        <v>236</v>
      </c>
    </row>
    <row r="153" spans="1:37" x14ac:dyDescent="0.2">
      <c r="A153" s="5">
        <v>187</v>
      </c>
      <c r="B153" t="s">
        <v>81</v>
      </c>
      <c r="C153">
        <v>0</v>
      </c>
      <c r="D153">
        <v>1</v>
      </c>
      <c r="E153">
        <v>0</v>
      </c>
      <c r="F153">
        <v>1</v>
      </c>
      <c r="G153">
        <v>1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1</v>
      </c>
      <c r="P153">
        <v>1</v>
      </c>
      <c r="Q153">
        <v>0</v>
      </c>
      <c r="R153">
        <v>0</v>
      </c>
      <c r="S153">
        <v>0</v>
      </c>
      <c r="T153">
        <v>1</v>
      </c>
      <c r="U153">
        <v>1</v>
      </c>
      <c r="V153">
        <v>1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0.73352299591924186</v>
      </c>
      <c r="AF153">
        <v>3.0725218456701429E-2</v>
      </c>
      <c r="AG153">
        <v>4.1887191850334524</v>
      </c>
      <c r="AH153" t="b">
        <v>1</v>
      </c>
      <c r="AJ153">
        <v>1</v>
      </c>
      <c r="AK153" t="s">
        <v>237</v>
      </c>
    </row>
    <row r="154" spans="1:37" x14ac:dyDescent="0.2">
      <c r="A154" s="5">
        <v>188</v>
      </c>
      <c r="B154" t="s">
        <v>82</v>
      </c>
      <c r="C154">
        <v>0</v>
      </c>
      <c r="D154">
        <v>1</v>
      </c>
      <c r="E154">
        <v>0</v>
      </c>
      <c r="F154">
        <v>1</v>
      </c>
      <c r="G154">
        <v>0</v>
      </c>
      <c r="H154">
        <v>1</v>
      </c>
      <c r="I154">
        <v>1</v>
      </c>
      <c r="J154">
        <v>0</v>
      </c>
      <c r="K154">
        <v>1</v>
      </c>
      <c r="L154">
        <v>1</v>
      </c>
      <c r="M154">
        <v>0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1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0.43274234568308723</v>
      </c>
      <c r="AF154">
        <v>2.5577205187964681E-2</v>
      </c>
      <c r="AG154">
        <v>5.9104928008815181</v>
      </c>
      <c r="AH154" t="b">
        <v>1</v>
      </c>
      <c r="AJ154">
        <v>1</v>
      </c>
      <c r="AK154" t="s">
        <v>238</v>
      </c>
    </row>
    <row r="155" spans="1:37" x14ac:dyDescent="0.2">
      <c r="A155" s="5">
        <v>189</v>
      </c>
      <c r="B155" t="s">
        <v>83</v>
      </c>
      <c r="C155">
        <v>0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0</v>
      </c>
      <c r="N155">
        <v>1</v>
      </c>
      <c r="O155">
        <v>0</v>
      </c>
      <c r="P155">
        <v>0</v>
      </c>
      <c r="Q155">
        <v>1</v>
      </c>
      <c r="R155">
        <v>1</v>
      </c>
      <c r="S155">
        <v>1</v>
      </c>
      <c r="T155">
        <v>0</v>
      </c>
      <c r="U155">
        <v>0</v>
      </c>
      <c r="V155">
        <v>0</v>
      </c>
      <c r="W155">
        <v>1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0.52041210263887039</v>
      </c>
      <c r="AF155">
        <v>9.4266062615136134E-3</v>
      </c>
      <c r="AG155">
        <v>1.811373373853878</v>
      </c>
      <c r="AH155" t="b">
        <v>1</v>
      </c>
      <c r="AJ155">
        <v>1</v>
      </c>
      <c r="AK155" t="s">
        <v>239</v>
      </c>
    </row>
    <row r="156" spans="1:37" x14ac:dyDescent="0.2">
      <c r="A156" s="5">
        <v>190</v>
      </c>
      <c r="B156" t="s">
        <v>84</v>
      </c>
      <c r="C156">
        <v>0</v>
      </c>
      <c r="D156">
        <v>1</v>
      </c>
      <c r="E156">
        <v>0</v>
      </c>
      <c r="F156">
        <v>1</v>
      </c>
      <c r="G156">
        <v>1</v>
      </c>
      <c r="H156">
        <v>1</v>
      </c>
      <c r="I156">
        <v>1</v>
      </c>
      <c r="J156">
        <v>0</v>
      </c>
      <c r="K156">
        <v>1</v>
      </c>
      <c r="L156">
        <v>1</v>
      </c>
      <c r="M156">
        <v>0</v>
      </c>
      <c r="N156">
        <v>0</v>
      </c>
      <c r="O156">
        <v>1</v>
      </c>
      <c r="P156">
        <v>1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0.41579192278361621</v>
      </c>
      <c r="AF156">
        <v>1.0900394773784121E-2</v>
      </c>
      <c r="AG156">
        <v>2.621598491093545</v>
      </c>
      <c r="AH156" t="b">
        <v>1</v>
      </c>
      <c r="AJ156">
        <v>1</v>
      </c>
      <c r="AK156" t="s">
        <v>240</v>
      </c>
    </row>
    <row r="157" spans="1:37" x14ac:dyDescent="0.2">
      <c r="A157" s="5">
        <v>191</v>
      </c>
      <c r="B157">
        <v>1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0.28623510114465262</v>
      </c>
      <c r="AF157">
        <v>1.983623309944647E-2</v>
      </c>
      <c r="AG157">
        <v>6.9300491170095766</v>
      </c>
      <c r="AH157" t="b">
        <v>1</v>
      </c>
      <c r="AJ157">
        <v>1</v>
      </c>
      <c r="AK157" t="s">
        <v>241</v>
      </c>
    </row>
    <row r="158" spans="1:37" x14ac:dyDescent="0.2">
      <c r="A158" s="5">
        <v>192</v>
      </c>
      <c r="B158">
        <v>2</v>
      </c>
      <c r="C158">
        <v>0</v>
      </c>
      <c r="D158">
        <v>0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0.71845778722101694</v>
      </c>
      <c r="AF158">
        <v>3.1474640979271183E-2</v>
      </c>
      <c r="AG158">
        <v>4.3808615536084012</v>
      </c>
      <c r="AH158" t="b">
        <v>1</v>
      </c>
      <c r="AJ158">
        <v>1</v>
      </c>
      <c r="AK158" t="s">
        <v>242</v>
      </c>
    </row>
    <row r="159" spans="1:37" x14ac:dyDescent="0.2">
      <c r="A159" s="5">
        <v>193</v>
      </c>
      <c r="B159">
        <v>3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0.3182625590165406</v>
      </c>
      <c r="AF159">
        <v>1.3868866505368701E-2</v>
      </c>
      <c r="AG159">
        <v>4.3576808243560663</v>
      </c>
      <c r="AH159" t="b">
        <v>1</v>
      </c>
      <c r="AJ159">
        <v>1</v>
      </c>
      <c r="AK159" t="s">
        <v>243</v>
      </c>
    </row>
    <row r="160" spans="1:37" x14ac:dyDescent="0.2">
      <c r="A160" s="5">
        <v>194</v>
      </c>
      <c r="B160">
        <v>4</v>
      </c>
      <c r="C160">
        <v>0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0.28667841177805509</v>
      </c>
      <c r="AF160">
        <v>1.179357393996594E-2</v>
      </c>
      <c r="AG160">
        <v>4.1138688702853781</v>
      </c>
      <c r="AH160" t="b">
        <v>1</v>
      </c>
      <c r="AJ160">
        <v>1</v>
      </c>
      <c r="AK160" t="s">
        <v>244</v>
      </c>
    </row>
    <row r="161" spans="1:37" x14ac:dyDescent="0.2">
      <c r="A161" s="5">
        <v>195</v>
      </c>
      <c r="B161">
        <v>5</v>
      </c>
      <c r="C161">
        <v>0</v>
      </c>
      <c r="D161">
        <v>0</v>
      </c>
      <c r="E161">
        <v>1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0.33209263258878541</v>
      </c>
      <c r="AF161">
        <v>1.71285786245855E-3</v>
      </c>
      <c r="AG161">
        <v>0.51577713395993963</v>
      </c>
      <c r="AH161" t="b">
        <v>1</v>
      </c>
      <c r="AJ161">
        <v>1</v>
      </c>
      <c r="AK161" t="s">
        <v>245</v>
      </c>
    </row>
    <row r="162" spans="1:37" x14ac:dyDescent="0.2">
      <c r="A162" s="5">
        <v>197</v>
      </c>
      <c r="B162">
        <v>7</v>
      </c>
      <c r="C162">
        <v>0</v>
      </c>
      <c r="D162">
        <v>0</v>
      </c>
      <c r="E162">
        <v>1</v>
      </c>
      <c r="F162">
        <v>0</v>
      </c>
      <c r="G162">
        <v>1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0.35756349943901322</v>
      </c>
      <c r="AF162">
        <v>2.174052856136708E-2</v>
      </c>
      <c r="AG162">
        <v>6.0801867627641304</v>
      </c>
      <c r="AH162" t="b">
        <v>1</v>
      </c>
      <c r="AJ162">
        <v>1</v>
      </c>
      <c r="AK162" t="s">
        <v>247</v>
      </c>
    </row>
    <row r="163" spans="1:37" x14ac:dyDescent="0.2">
      <c r="A163" s="5">
        <v>198</v>
      </c>
      <c r="B163">
        <v>8</v>
      </c>
      <c r="C163">
        <v>0</v>
      </c>
      <c r="D163">
        <v>0</v>
      </c>
      <c r="E163">
        <v>1</v>
      </c>
      <c r="F163">
        <v>0</v>
      </c>
      <c r="G163">
        <v>1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</v>
      </c>
      <c r="V163">
        <v>0</v>
      </c>
      <c r="W163">
        <v>1</v>
      </c>
      <c r="X163">
        <v>1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0.35896258014389981</v>
      </c>
      <c r="AF163">
        <v>2.6975937400583992E-2</v>
      </c>
      <c r="AG163">
        <v>7.5149720034244138</v>
      </c>
      <c r="AH163" t="b">
        <v>1</v>
      </c>
      <c r="AJ163">
        <v>2</v>
      </c>
      <c r="AK163" s="6" t="s">
        <v>248</v>
      </c>
    </row>
    <row r="164" spans="1:37" x14ac:dyDescent="0.2">
      <c r="A164" s="5">
        <v>199</v>
      </c>
      <c r="B164">
        <v>9</v>
      </c>
      <c r="C164">
        <v>0</v>
      </c>
      <c r="D164">
        <v>0</v>
      </c>
      <c r="E164">
        <v>1</v>
      </c>
      <c r="F164">
        <v>0</v>
      </c>
      <c r="G164">
        <v>1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0.61304801318772928</v>
      </c>
      <c r="AF164">
        <v>1.818278693797035E-2</v>
      </c>
      <c r="AG164">
        <v>2.965964581374863</v>
      </c>
      <c r="AH164" t="b">
        <v>1</v>
      </c>
      <c r="AJ164">
        <v>2</v>
      </c>
      <c r="AK164" s="6" t="s">
        <v>249</v>
      </c>
    </row>
    <row r="165" spans="1:37" x14ac:dyDescent="0.2">
      <c r="A165" s="5">
        <v>201</v>
      </c>
      <c r="B165">
        <v>11</v>
      </c>
      <c r="C165">
        <v>0</v>
      </c>
      <c r="D165">
        <v>0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0</v>
      </c>
      <c r="AC165">
        <v>0</v>
      </c>
      <c r="AD165">
        <v>0</v>
      </c>
      <c r="AE165">
        <v>0.55931980404332848</v>
      </c>
      <c r="AF165">
        <v>2.900922766400655E-2</v>
      </c>
      <c r="AG165">
        <v>5.1865189564715122</v>
      </c>
      <c r="AH165" t="b">
        <v>1</v>
      </c>
      <c r="AJ165">
        <v>1</v>
      </c>
      <c r="AK165" t="s">
        <v>251</v>
      </c>
    </row>
    <row r="166" spans="1:37" x14ac:dyDescent="0.2">
      <c r="A166" s="5">
        <v>202</v>
      </c>
      <c r="B166">
        <v>12</v>
      </c>
      <c r="C166">
        <v>0</v>
      </c>
      <c r="D166">
        <v>0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0</v>
      </c>
      <c r="AA166">
        <v>0</v>
      </c>
      <c r="AB166">
        <v>1</v>
      </c>
      <c r="AC166">
        <v>1</v>
      </c>
      <c r="AD166">
        <v>1</v>
      </c>
      <c r="AE166">
        <v>0.81113217303733587</v>
      </c>
      <c r="AF166">
        <v>5.9655336236663907E-2</v>
      </c>
      <c r="AG166">
        <v>7.3545765067215507</v>
      </c>
      <c r="AH166" t="b">
        <v>1</v>
      </c>
      <c r="AJ166">
        <v>1</v>
      </c>
      <c r="AK166" t="s">
        <v>252</v>
      </c>
    </row>
    <row r="167" spans="1:37" x14ac:dyDescent="0.2">
      <c r="A167" s="5">
        <v>203</v>
      </c>
      <c r="B167">
        <v>13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  <c r="AA167">
        <v>1</v>
      </c>
      <c r="AB167">
        <v>0</v>
      </c>
      <c r="AC167">
        <v>0</v>
      </c>
      <c r="AD167">
        <v>0</v>
      </c>
      <c r="AE167">
        <v>0.2669533307775741</v>
      </c>
      <c r="AF167">
        <v>3.9033567499420621E-2</v>
      </c>
      <c r="AG167">
        <v>14.621869442769171</v>
      </c>
      <c r="AH167" t="b">
        <v>1</v>
      </c>
      <c r="AJ167">
        <v>1</v>
      </c>
      <c r="AK167" t="s">
        <v>253</v>
      </c>
    </row>
    <row r="168" spans="1:37" x14ac:dyDescent="0.2">
      <c r="A168" s="5">
        <v>204</v>
      </c>
      <c r="B168">
        <v>14</v>
      </c>
      <c r="C168">
        <v>0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1</v>
      </c>
      <c r="AD168">
        <v>1</v>
      </c>
      <c r="AE168">
        <v>0.30462350202400651</v>
      </c>
      <c r="AF168">
        <v>1.8752373116772272E-2</v>
      </c>
      <c r="AG168">
        <v>6.1559180405241518</v>
      </c>
      <c r="AH168" t="b">
        <v>1</v>
      </c>
      <c r="AJ168">
        <v>1</v>
      </c>
      <c r="AK168" t="s">
        <v>254</v>
      </c>
    </row>
    <row r="169" spans="1:37" x14ac:dyDescent="0.2">
      <c r="A169" s="5">
        <v>207</v>
      </c>
      <c r="B169">
        <v>18</v>
      </c>
      <c r="C169">
        <v>0</v>
      </c>
      <c r="D169">
        <v>0</v>
      </c>
      <c r="E169">
        <v>1</v>
      </c>
      <c r="F169">
        <v>1</v>
      </c>
      <c r="G169">
        <v>0</v>
      </c>
      <c r="H169">
        <v>1</v>
      </c>
      <c r="I169">
        <v>1</v>
      </c>
      <c r="J169">
        <v>0</v>
      </c>
      <c r="K169">
        <v>1</v>
      </c>
      <c r="L169">
        <v>1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1</v>
      </c>
      <c r="V169">
        <v>1</v>
      </c>
      <c r="W169">
        <v>1</v>
      </c>
      <c r="X169">
        <v>1</v>
      </c>
      <c r="Y169">
        <v>0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0.41735142396681052</v>
      </c>
      <c r="AF169">
        <v>3.5291035476340358E-3</v>
      </c>
      <c r="AG169">
        <v>0.84559518548921608</v>
      </c>
      <c r="AH169" t="b">
        <v>1</v>
      </c>
      <c r="AJ169">
        <v>2</v>
      </c>
      <c r="AK169" s="6" t="s">
        <v>257</v>
      </c>
    </row>
    <row r="170" spans="1:37" x14ac:dyDescent="0.2">
      <c r="A170" s="5">
        <v>208</v>
      </c>
      <c r="B170">
        <v>19</v>
      </c>
      <c r="C170">
        <v>0</v>
      </c>
      <c r="D170">
        <v>0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0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0.48625530067683181</v>
      </c>
      <c r="AF170">
        <v>1.5687190190832478E-2</v>
      </c>
      <c r="AG170">
        <v>3.2261221973307141</v>
      </c>
      <c r="AH170" t="b">
        <v>1</v>
      </c>
      <c r="AJ170">
        <v>1</v>
      </c>
      <c r="AK170" t="s">
        <v>258</v>
      </c>
    </row>
    <row r="171" spans="1:37" x14ac:dyDescent="0.2">
      <c r="A171" s="5">
        <v>209</v>
      </c>
      <c r="B171">
        <v>12</v>
      </c>
      <c r="C171">
        <v>0</v>
      </c>
      <c r="D171">
        <v>0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0</v>
      </c>
      <c r="K171">
        <v>1</v>
      </c>
      <c r="L171">
        <v>1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1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0.44458277238685501</v>
      </c>
      <c r="AF171">
        <v>2.6721786500665749E-2</v>
      </c>
      <c r="AG171">
        <v>6.0105312577010306</v>
      </c>
      <c r="AH171" t="b">
        <v>1</v>
      </c>
      <c r="AJ171">
        <v>1</v>
      </c>
      <c r="AK171" t="s">
        <v>259</v>
      </c>
    </row>
    <row r="172" spans="1:37" x14ac:dyDescent="0.2">
      <c r="A172" s="5">
        <v>210</v>
      </c>
      <c r="B172">
        <v>13</v>
      </c>
      <c r="C172">
        <v>0</v>
      </c>
      <c r="D172">
        <v>0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0</v>
      </c>
      <c r="K172">
        <v>1</v>
      </c>
      <c r="L172">
        <v>1</v>
      </c>
      <c r="M172">
        <v>1</v>
      </c>
      <c r="N172">
        <v>0</v>
      </c>
      <c r="O172">
        <v>1</v>
      </c>
      <c r="P172">
        <v>1</v>
      </c>
      <c r="Q172">
        <v>0</v>
      </c>
      <c r="R172">
        <v>0</v>
      </c>
      <c r="S172">
        <v>0</v>
      </c>
      <c r="T172">
        <v>1</v>
      </c>
      <c r="U172">
        <v>1</v>
      </c>
      <c r="V172">
        <v>1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0.5847029182148149</v>
      </c>
      <c r="AF172">
        <v>6.9204995629040172E-2</v>
      </c>
      <c r="AG172">
        <v>11.835924445243631</v>
      </c>
      <c r="AH172" t="b">
        <v>1</v>
      </c>
      <c r="AJ172">
        <v>1</v>
      </c>
      <c r="AK172" t="s">
        <v>260</v>
      </c>
    </row>
    <row r="173" spans="1:37" x14ac:dyDescent="0.2">
      <c r="A173" s="5">
        <v>211</v>
      </c>
      <c r="B173">
        <v>14</v>
      </c>
      <c r="C173">
        <v>0</v>
      </c>
      <c r="D173">
        <v>0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0</v>
      </c>
      <c r="K173">
        <v>1</v>
      </c>
      <c r="L173">
        <v>1</v>
      </c>
      <c r="M173">
        <v>1</v>
      </c>
      <c r="N173">
        <v>0</v>
      </c>
      <c r="O173">
        <v>1</v>
      </c>
      <c r="P173">
        <v>1</v>
      </c>
      <c r="Q173">
        <v>1</v>
      </c>
      <c r="R173">
        <v>0</v>
      </c>
      <c r="S173">
        <v>0</v>
      </c>
      <c r="T173">
        <v>1</v>
      </c>
      <c r="U173">
        <v>1</v>
      </c>
      <c r="V173">
        <v>1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0.5214642864421315</v>
      </c>
      <c r="AF173">
        <v>2.280240188453261E-2</v>
      </c>
      <c r="AG173">
        <v>4.3727638646377489</v>
      </c>
      <c r="AH173" t="b">
        <v>1</v>
      </c>
      <c r="AJ173">
        <v>2</v>
      </c>
      <c r="AK173" s="6" t="s">
        <v>261</v>
      </c>
    </row>
    <row r="174" spans="1:37" x14ac:dyDescent="0.2">
      <c r="A174" s="5">
        <v>212</v>
      </c>
      <c r="B174">
        <v>15</v>
      </c>
      <c r="C174">
        <v>0</v>
      </c>
      <c r="D174">
        <v>0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0</v>
      </c>
      <c r="O174">
        <v>1</v>
      </c>
      <c r="P174">
        <v>1</v>
      </c>
      <c r="Q174">
        <v>1</v>
      </c>
      <c r="R174">
        <v>1</v>
      </c>
      <c r="S174">
        <v>0</v>
      </c>
      <c r="T174">
        <v>1</v>
      </c>
      <c r="U174">
        <v>1</v>
      </c>
      <c r="V174">
        <v>1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0.6403201313967436</v>
      </c>
      <c r="AF174">
        <v>2.0508951219114849E-2</v>
      </c>
      <c r="AG174">
        <v>3.2029215096483461</v>
      </c>
      <c r="AH174" t="b">
        <v>1</v>
      </c>
      <c r="AJ174">
        <v>1</v>
      </c>
      <c r="AK174" t="s">
        <v>262</v>
      </c>
    </row>
    <row r="175" spans="1:37" x14ac:dyDescent="0.2">
      <c r="A175" s="5">
        <v>214</v>
      </c>
      <c r="B175">
        <v>18</v>
      </c>
      <c r="C175">
        <v>0</v>
      </c>
      <c r="D175">
        <v>0</v>
      </c>
      <c r="E175">
        <v>1</v>
      </c>
      <c r="F175">
        <v>0</v>
      </c>
      <c r="G175">
        <v>1</v>
      </c>
      <c r="H175">
        <v>0</v>
      </c>
      <c r="I175">
        <v>0</v>
      </c>
      <c r="J175">
        <v>1</v>
      </c>
      <c r="K175">
        <v>1</v>
      </c>
      <c r="L175">
        <v>1</v>
      </c>
      <c r="M175">
        <v>0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</v>
      </c>
      <c r="V175">
        <v>0</v>
      </c>
      <c r="W175">
        <v>1</v>
      </c>
      <c r="X175">
        <v>1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0.45161486470560402</v>
      </c>
      <c r="AF175">
        <v>1.1784762864275629E-2</v>
      </c>
      <c r="AG175">
        <v>2.6094718720026648</v>
      </c>
      <c r="AH175" t="b">
        <v>1</v>
      </c>
      <c r="AJ175">
        <v>2</v>
      </c>
      <c r="AK175" s="6" t="s">
        <v>263</v>
      </c>
    </row>
    <row r="176" spans="1:37" x14ac:dyDescent="0.2">
      <c r="A176" s="5">
        <v>216</v>
      </c>
      <c r="B176">
        <v>21</v>
      </c>
      <c r="C176">
        <v>0</v>
      </c>
      <c r="D176">
        <v>0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0</v>
      </c>
      <c r="L176">
        <v>0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0.52338010167428928</v>
      </c>
      <c r="AF176">
        <v>6.4933533378179739E-2</v>
      </c>
      <c r="AG176">
        <v>12.40657280826264</v>
      </c>
      <c r="AH176" t="b">
        <v>1</v>
      </c>
      <c r="AJ176">
        <v>1</v>
      </c>
      <c r="AK176" t="s">
        <v>265</v>
      </c>
    </row>
    <row r="177" spans="1:37" x14ac:dyDescent="0.2">
      <c r="A177" s="5">
        <v>218</v>
      </c>
      <c r="B177">
        <v>23</v>
      </c>
      <c r="C177">
        <v>0</v>
      </c>
      <c r="D177">
        <v>0</v>
      </c>
      <c r="E177">
        <v>1</v>
      </c>
      <c r="F177">
        <v>1</v>
      </c>
      <c r="G177">
        <v>0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0</v>
      </c>
      <c r="P177">
        <v>0</v>
      </c>
      <c r="Q177">
        <v>0</v>
      </c>
      <c r="R177">
        <v>1</v>
      </c>
      <c r="S177">
        <v>1</v>
      </c>
      <c r="T177">
        <v>0</v>
      </c>
      <c r="U177">
        <v>1</v>
      </c>
      <c r="V177">
        <v>1</v>
      </c>
      <c r="W177">
        <v>1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0.41315513305651169</v>
      </c>
      <c r="AF177">
        <v>5.0650981064293638E-2</v>
      </c>
      <c r="AG177">
        <v>12.259555070653221</v>
      </c>
      <c r="AH177" t="b">
        <v>1</v>
      </c>
      <c r="AJ177">
        <v>1</v>
      </c>
      <c r="AK177" t="s">
        <v>266</v>
      </c>
    </row>
    <row r="178" spans="1:37" x14ac:dyDescent="0.2">
      <c r="A178" s="5">
        <v>220</v>
      </c>
      <c r="B178">
        <v>25</v>
      </c>
      <c r="C178">
        <v>0</v>
      </c>
      <c r="D178">
        <v>0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0</v>
      </c>
      <c r="K178">
        <v>1</v>
      </c>
      <c r="L178">
        <v>1</v>
      </c>
      <c r="M178">
        <v>0</v>
      </c>
      <c r="N178">
        <v>0</v>
      </c>
      <c r="O178">
        <v>1</v>
      </c>
      <c r="P178">
        <v>1</v>
      </c>
      <c r="Q178">
        <v>1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0.47763184616490229</v>
      </c>
      <c r="AF178">
        <v>3.7602993437686458E-2</v>
      </c>
      <c r="AG178">
        <v>7.8727986292404868</v>
      </c>
      <c r="AH178" t="b">
        <v>1</v>
      </c>
      <c r="AJ178">
        <v>1</v>
      </c>
      <c r="AK178" t="s">
        <v>267</v>
      </c>
    </row>
    <row r="179" spans="1:37" x14ac:dyDescent="0.2">
      <c r="A179" s="5">
        <v>221</v>
      </c>
      <c r="B179">
        <v>26</v>
      </c>
      <c r="C179">
        <v>0</v>
      </c>
      <c r="D179">
        <v>0</v>
      </c>
      <c r="E179">
        <v>1</v>
      </c>
      <c r="F179">
        <v>1</v>
      </c>
      <c r="G179">
        <v>0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1</v>
      </c>
      <c r="S179">
        <v>1</v>
      </c>
      <c r="T179">
        <v>0</v>
      </c>
      <c r="U179">
        <v>0</v>
      </c>
      <c r="V179">
        <v>0</v>
      </c>
      <c r="W179">
        <v>1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0.41561333628925362</v>
      </c>
      <c r="AF179">
        <v>1.4214580323430081E-2</v>
      </c>
      <c r="AG179">
        <v>3.4201453808828659</v>
      </c>
      <c r="AH179" t="b">
        <v>1</v>
      </c>
      <c r="AJ179">
        <v>1</v>
      </c>
      <c r="AK179" t="s">
        <v>268</v>
      </c>
    </row>
    <row r="180" spans="1:37" x14ac:dyDescent="0.2">
      <c r="A180" s="5">
        <v>222</v>
      </c>
      <c r="B180">
        <v>27</v>
      </c>
      <c r="C180">
        <v>0</v>
      </c>
      <c r="D180">
        <v>0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1</v>
      </c>
      <c r="P180">
        <v>1</v>
      </c>
      <c r="Q180">
        <v>1</v>
      </c>
      <c r="R180">
        <v>0</v>
      </c>
      <c r="S180">
        <v>0</v>
      </c>
      <c r="T180">
        <v>1</v>
      </c>
      <c r="U180">
        <v>1</v>
      </c>
      <c r="V180">
        <v>1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0.37140610036303467</v>
      </c>
      <c r="AF180">
        <v>1.316081368376611E-2</v>
      </c>
      <c r="AG180">
        <v>3.54351037069718</v>
      </c>
      <c r="AH180" t="b">
        <v>1</v>
      </c>
      <c r="AJ180">
        <v>1</v>
      </c>
      <c r="AK180" t="s">
        <v>269</v>
      </c>
    </row>
    <row r="181" spans="1:37" x14ac:dyDescent="0.2">
      <c r="A181" s="5">
        <v>223</v>
      </c>
      <c r="B181">
        <v>28</v>
      </c>
      <c r="C181">
        <v>0</v>
      </c>
      <c r="D181">
        <v>0</v>
      </c>
      <c r="E181">
        <v>1</v>
      </c>
      <c r="F181">
        <v>1</v>
      </c>
      <c r="G181">
        <v>0</v>
      </c>
      <c r="H181">
        <v>1</v>
      </c>
      <c r="I181">
        <v>1</v>
      </c>
      <c r="J181">
        <v>1</v>
      </c>
      <c r="K181">
        <v>0</v>
      </c>
      <c r="L181">
        <v>0</v>
      </c>
      <c r="M181">
        <v>1</v>
      </c>
      <c r="N181">
        <v>1</v>
      </c>
      <c r="O181">
        <v>0</v>
      </c>
      <c r="P181">
        <v>0</v>
      </c>
      <c r="Q181">
        <v>0</v>
      </c>
      <c r="R181">
        <v>1</v>
      </c>
      <c r="S181">
        <v>1</v>
      </c>
      <c r="T181">
        <v>0</v>
      </c>
      <c r="U181">
        <v>1</v>
      </c>
      <c r="V181">
        <v>1</v>
      </c>
      <c r="W181">
        <v>1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0.40220348197744799</v>
      </c>
      <c r="AF181">
        <v>4.8721130998298237E-2</v>
      </c>
      <c r="AG181">
        <v>12.113552761591979</v>
      </c>
      <c r="AH181" t="b">
        <v>1</v>
      </c>
      <c r="AJ181">
        <v>1</v>
      </c>
      <c r="AK181" t="s">
        <v>270</v>
      </c>
    </row>
    <row r="182" spans="1:37" x14ac:dyDescent="0.2">
      <c r="A182" s="5">
        <v>224</v>
      </c>
      <c r="B182">
        <v>29</v>
      </c>
      <c r="C182">
        <v>0</v>
      </c>
      <c r="D182">
        <v>0</v>
      </c>
      <c r="E182">
        <v>1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1</v>
      </c>
      <c r="L182">
        <v>1</v>
      </c>
      <c r="M182">
        <v>1</v>
      </c>
      <c r="N182">
        <v>0</v>
      </c>
      <c r="O182">
        <v>1</v>
      </c>
      <c r="P182">
        <v>1</v>
      </c>
      <c r="Q182">
        <v>1</v>
      </c>
      <c r="R182">
        <v>0</v>
      </c>
      <c r="S182">
        <v>0</v>
      </c>
      <c r="T182">
        <v>1</v>
      </c>
      <c r="U182">
        <v>1</v>
      </c>
      <c r="V182">
        <v>1</v>
      </c>
      <c r="W182">
        <v>0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0.64828211242714795</v>
      </c>
      <c r="AF182">
        <v>2.9618743120795401E-2</v>
      </c>
      <c r="AG182">
        <v>4.5688046227133663</v>
      </c>
      <c r="AH182" t="b">
        <v>1</v>
      </c>
      <c r="AJ182">
        <v>1</v>
      </c>
      <c r="AK182" t="s">
        <v>271</v>
      </c>
    </row>
    <row r="183" spans="1:37" x14ac:dyDescent="0.2">
      <c r="A183" s="5">
        <v>225</v>
      </c>
      <c r="B183">
        <v>30</v>
      </c>
      <c r="C183">
        <v>0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0</v>
      </c>
      <c r="P183">
        <v>0</v>
      </c>
      <c r="Q183">
        <v>0</v>
      </c>
      <c r="R183">
        <v>1</v>
      </c>
      <c r="S183">
        <v>1</v>
      </c>
      <c r="T183">
        <v>0</v>
      </c>
      <c r="U183">
        <v>1</v>
      </c>
      <c r="V183">
        <v>1</v>
      </c>
      <c r="W183">
        <v>1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0.43057727480991331</v>
      </c>
      <c r="AF183">
        <v>2.506965035899289E-2</v>
      </c>
      <c r="AG183">
        <v>5.8223347644300034</v>
      </c>
      <c r="AH183" t="b">
        <v>1</v>
      </c>
      <c r="AJ183">
        <v>1</v>
      </c>
      <c r="AK183" t="s">
        <v>272</v>
      </c>
    </row>
    <row r="184" spans="1:37" x14ac:dyDescent="0.2">
      <c r="A184" s="5">
        <v>226</v>
      </c>
      <c r="B184" t="s">
        <v>35</v>
      </c>
      <c r="C184">
        <v>0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0.34591205719919682</v>
      </c>
      <c r="AF184">
        <v>8.6300508007277257E-3</v>
      </c>
      <c r="AG184">
        <v>2.4948684560474939</v>
      </c>
      <c r="AH184" t="b">
        <v>1</v>
      </c>
      <c r="AJ184">
        <v>1</v>
      </c>
      <c r="AK184" t="s">
        <v>273</v>
      </c>
    </row>
    <row r="185" spans="1:37" x14ac:dyDescent="0.2">
      <c r="A185" s="5">
        <v>227</v>
      </c>
      <c r="B185" t="s">
        <v>36</v>
      </c>
      <c r="C185">
        <v>0</v>
      </c>
      <c r="D185">
        <v>0</v>
      </c>
      <c r="E185">
        <v>1</v>
      </c>
      <c r="F185">
        <v>0</v>
      </c>
      <c r="G185">
        <v>1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0.35982308376841737</v>
      </c>
      <c r="AF185">
        <v>7.3981459001744854E-3</v>
      </c>
      <c r="AG185">
        <v>2.0560509411163692</v>
      </c>
      <c r="AH185" t="b">
        <v>1</v>
      </c>
      <c r="AJ185">
        <v>1</v>
      </c>
      <c r="AK185" t="s">
        <v>274</v>
      </c>
    </row>
    <row r="186" spans="1:37" x14ac:dyDescent="0.2">
      <c r="A186" s="5">
        <v>228</v>
      </c>
      <c r="B186" t="s">
        <v>37</v>
      </c>
      <c r="C186">
        <v>0</v>
      </c>
      <c r="D186">
        <v>0</v>
      </c>
      <c r="E186">
        <v>1</v>
      </c>
      <c r="F186">
        <v>0</v>
      </c>
      <c r="G186">
        <v>1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1</v>
      </c>
      <c r="R186">
        <v>1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0.39241641573316199</v>
      </c>
      <c r="AF186">
        <v>1.691342001550105E-2</v>
      </c>
      <c r="AG186">
        <v>4.3100694408773039</v>
      </c>
      <c r="AH186" t="b">
        <v>1</v>
      </c>
      <c r="AJ186">
        <v>2</v>
      </c>
      <c r="AK186" s="6" t="s">
        <v>246</v>
      </c>
    </row>
    <row r="187" spans="1:37" x14ac:dyDescent="0.2">
      <c r="A187" s="5">
        <v>229</v>
      </c>
      <c r="B187" t="s">
        <v>38</v>
      </c>
      <c r="C187">
        <v>0</v>
      </c>
      <c r="D187">
        <v>0</v>
      </c>
      <c r="E187">
        <v>1</v>
      </c>
      <c r="F187">
        <v>0</v>
      </c>
      <c r="G187">
        <v>1</v>
      </c>
      <c r="H187">
        <v>0</v>
      </c>
      <c r="I187">
        <v>0</v>
      </c>
      <c r="J187">
        <v>1</v>
      </c>
      <c r="K187">
        <v>1</v>
      </c>
      <c r="L187">
        <v>1</v>
      </c>
      <c r="M187">
        <v>0</v>
      </c>
      <c r="N187">
        <v>1</v>
      </c>
      <c r="O187">
        <v>0</v>
      </c>
      <c r="P187">
        <v>0</v>
      </c>
      <c r="Q187">
        <v>1</v>
      </c>
      <c r="R187">
        <v>1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0.41630903279471032</v>
      </c>
      <c r="AF187">
        <v>4.8760849036629458E-3</v>
      </c>
      <c r="AG187">
        <v>1.171265699168107</v>
      </c>
      <c r="AH187" t="b">
        <v>1</v>
      </c>
      <c r="AJ187">
        <v>1</v>
      </c>
      <c r="AK187" t="s">
        <v>275</v>
      </c>
    </row>
    <row r="188" spans="1:37" x14ac:dyDescent="0.2">
      <c r="A188" s="5">
        <v>230</v>
      </c>
      <c r="B188" t="s">
        <v>39</v>
      </c>
      <c r="C188">
        <v>0</v>
      </c>
      <c r="D188">
        <v>0</v>
      </c>
      <c r="E188">
        <v>1</v>
      </c>
      <c r="F188">
        <v>0</v>
      </c>
      <c r="G188">
        <v>1</v>
      </c>
      <c r="H188">
        <v>0</v>
      </c>
      <c r="I188">
        <v>0</v>
      </c>
      <c r="J188">
        <v>1</v>
      </c>
      <c r="K188">
        <v>1</v>
      </c>
      <c r="L188">
        <v>1</v>
      </c>
      <c r="M188">
        <v>0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0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0.35633569288741951</v>
      </c>
      <c r="AF188">
        <v>2.707809085233322E-3</v>
      </c>
      <c r="AG188">
        <v>0.75990397237271023</v>
      </c>
      <c r="AH188" t="b">
        <v>1</v>
      </c>
      <c r="AJ188">
        <v>1</v>
      </c>
      <c r="AK188" t="s">
        <v>276</v>
      </c>
    </row>
    <row r="189" spans="1:37" x14ac:dyDescent="0.2">
      <c r="A189" s="5">
        <v>231</v>
      </c>
      <c r="B189" t="s">
        <v>40</v>
      </c>
      <c r="C189">
        <v>0</v>
      </c>
      <c r="D189">
        <v>0</v>
      </c>
      <c r="E189">
        <v>1</v>
      </c>
      <c r="F189">
        <v>0</v>
      </c>
      <c r="G189">
        <v>1</v>
      </c>
      <c r="H189">
        <v>0</v>
      </c>
      <c r="I189">
        <v>0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0</v>
      </c>
      <c r="T189">
        <v>1</v>
      </c>
      <c r="U189">
        <v>1</v>
      </c>
      <c r="V189">
        <v>1</v>
      </c>
      <c r="W189">
        <v>0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0.59783363606312978</v>
      </c>
      <c r="AF189">
        <v>1.8042976603181979E-2</v>
      </c>
      <c r="AG189">
        <v>3.0180597936909468</v>
      </c>
      <c r="AH189" t="b">
        <v>1</v>
      </c>
      <c r="AJ189">
        <v>1</v>
      </c>
      <c r="AK189" t="s">
        <v>277</v>
      </c>
    </row>
    <row r="190" spans="1:37" x14ac:dyDescent="0.2">
      <c r="A190" s="5">
        <v>233</v>
      </c>
      <c r="B190" t="s">
        <v>42</v>
      </c>
      <c r="C190">
        <v>0</v>
      </c>
      <c r="D190">
        <v>0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0.78305831835210871</v>
      </c>
      <c r="AF190">
        <v>1.6615342661960391E-2</v>
      </c>
      <c r="AG190">
        <v>2.1218525201196021</v>
      </c>
      <c r="AH190" t="b">
        <v>1</v>
      </c>
      <c r="AJ190">
        <v>4</v>
      </c>
      <c r="AK190" s="6" t="s">
        <v>250</v>
      </c>
    </row>
    <row r="191" spans="1:37" x14ac:dyDescent="0.2">
      <c r="A191" s="5">
        <v>234</v>
      </c>
      <c r="B191" t="s">
        <v>43</v>
      </c>
      <c r="C191">
        <v>0</v>
      </c>
      <c r="D191">
        <v>0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1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0.23525418601533199</v>
      </c>
      <c r="AF191">
        <v>2.2264469849430469E-2</v>
      </c>
      <c r="AG191">
        <v>9.4640058170864805</v>
      </c>
      <c r="AH191" t="b">
        <v>1</v>
      </c>
      <c r="AJ191">
        <v>1</v>
      </c>
      <c r="AK191" t="s">
        <v>278</v>
      </c>
    </row>
    <row r="192" spans="1:37" x14ac:dyDescent="0.2">
      <c r="A192" s="5">
        <v>235</v>
      </c>
      <c r="B192" t="s">
        <v>45</v>
      </c>
      <c r="C192">
        <v>0</v>
      </c>
      <c r="D192">
        <v>0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0</v>
      </c>
      <c r="U192">
        <v>0</v>
      </c>
      <c r="V192">
        <v>0</v>
      </c>
      <c r="W192">
        <v>1</v>
      </c>
      <c r="X192">
        <v>1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0.27328695204299069</v>
      </c>
      <c r="AF192">
        <v>3.343370308282935E-2</v>
      </c>
      <c r="AG192">
        <v>12.233918536136301</v>
      </c>
      <c r="AH192" t="b">
        <v>1</v>
      </c>
      <c r="AJ192">
        <v>1</v>
      </c>
      <c r="AK192" t="s">
        <v>279</v>
      </c>
    </row>
    <row r="193" spans="1:37" x14ac:dyDescent="0.2">
      <c r="A193" s="5">
        <v>239</v>
      </c>
      <c r="B193" t="s">
        <v>49</v>
      </c>
      <c r="C193">
        <v>0</v>
      </c>
      <c r="D193">
        <v>0</v>
      </c>
      <c r="E193">
        <v>1</v>
      </c>
      <c r="F193">
        <v>0</v>
      </c>
      <c r="G193">
        <v>1</v>
      </c>
      <c r="H193">
        <v>0</v>
      </c>
      <c r="I193">
        <v>0</v>
      </c>
      <c r="J193">
        <v>1</v>
      </c>
      <c r="K193">
        <v>1</v>
      </c>
      <c r="L193">
        <v>1</v>
      </c>
      <c r="M193">
        <v>0</v>
      </c>
      <c r="N193">
        <v>1</v>
      </c>
      <c r="O193">
        <v>0</v>
      </c>
      <c r="P193">
        <v>0</v>
      </c>
      <c r="Q193">
        <v>1</v>
      </c>
      <c r="R193">
        <v>1</v>
      </c>
      <c r="S193">
        <v>0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0.50301302213882371</v>
      </c>
      <c r="AF193">
        <v>2.907263379726506E-2</v>
      </c>
      <c r="AG193">
        <v>5.7796980431336564</v>
      </c>
      <c r="AH193" t="b">
        <v>1</v>
      </c>
      <c r="AJ193">
        <v>1</v>
      </c>
      <c r="AK193" t="s">
        <v>280</v>
      </c>
    </row>
    <row r="194" spans="1:37" x14ac:dyDescent="0.2">
      <c r="A194" s="5">
        <v>240</v>
      </c>
      <c r="B194" t="s">
        <v>50</v>
      </c>
      <c r="C194">
        <v>0</v>
      </c>
      <c r="D194">
        <v>0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0</v>
      </c>
      <c r="U194">
        <v>0</v>
      </c>
      <c r="V194">
        <v>0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0.25789135087492671</v>
      </c>
      <c r="AF194">
        <v>1.8177135222527719E-2</v>
      </c>
      <c r="AG194">
        <v>7.0483694628996476</v>
      </c>
      <c r="AH194" t="b">
        <v>1</v>
      </c>
      <c r="AJ194">
        <v>1</v>
      </c>
      <c r="AK194" t="s">
        <v>281</v>
      </c>
    </row>
    <row r="195" spans="1:37" x14ac:dyDescent="0.2">
      <c r="A195" s="5">
        <v>241</v>
      </c>
      <c r="B195" t="s">
        <v>51</v>
      </c>
      <c r="C195">
        <v>0</v>
      </c>
      <c r="D195">
        <v>0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0.34776982326478878</v>
      </c>
      <c r="AF195">
        <v>4.2484549615113908E-2</v>
      </c>
      <c r="AG195">
        <v>12.21628409741766</v>
      </c>
      <c r="AH195" t="b">
        <v>1</v>
      </c>
      <c r="AJ195">
        <v>1</v>
      </c>
      <c r="AK195" t="s">
        <v>282</v>
      </c>
    </row>
    <row r="196" spans="1:37" x14ac:dyDescent="0.2">
      <c r="A196" s="5">
        <v>242</v>
      </c>
      <c r="B196" t="s">
        <v>52</v>
      </c>
      <c r="C196">
        <v>0</v>
      </c>
      <c r="D196">
        <v>0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1</v>
      </c>
      <c r="X196">
        <v>1</v>
      </c>
      <c r="Y196">
        <v>0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0.19672122896831251</v>
      </c>
      <c r="AF196">
        <v>1.17811873430172E-2</v>
      </c>
      <c r="AG196">
        <v>5.9887727444580436</v>
      </c>
      <c r="AH196" t="b">
        <v>1</v>
      </c>
      <c r="AJ196">
        <v>1</v>
      </c>
      <c r="AK196" t="s">
        <v>283</v>
      </c>
    </row>
    <row r="197" spans="1:37" x14ac:dyDescent="0.2">
      <c r="A197" s="5">
        <v>243</v>
      </c>
      <c r="B197" t="s">
        <v>53</v>
      </c>
      <c r="C197">
        <v>0</v>
      </c>
      <c r="D197">
        <v>0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0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</v>
      </c>
      <c r="V197">
        <v>0</v>
      </c>
      <c r="W197">
        <v>1</v>
      </c>
      <c r="X197">
        <v>1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0.37378318030312008</v>
      </c>
      <c r="AF197">
        <v>1.131025301858081E-2</v>
      </c>
      <c r="AG197">
        <v>3.0258860255318978</v>
      </c>
      <c r="AH197" t="b">
        <v>1</v>
      </c>
      <c r="AJ197">
        <v>1</v>
      </c>
      <c r="AK197" t="s">
        <v>284</v>
      </c>
    </row>
    <row r="198" spans="1:37" x14ac:dyDescent="0.2">
      <c r="A198" s="5">
        <v>244</v>
      </c>
      <c r="B198" t="s">
        <v>54</v>
      </c>
      <c r="C198">
        <v>0</v>
      </c>
      <c r="D198">
        <v>0</v>
      </c>
      <c r="E198">
        <v>1</v>
      </c>
      <c r="F198">
        <v>0</v>
      </c>
      <c r="G198">
        <v>1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1</v>
      </c>
      <c r="N198">
        <v>0</v>
      </c>
      <c r="O198">
        <v>1</v>
      </c>
      <c r="P198">
        <v>1</v>
      </c>
      <c r="Q198">
        <v>0</v>
      </c>
      <c r="R198">
        <v>1</v>
      </c>
      <c r="S198">
        <v>0</v>
      </c>
      <c r="T198">
        <v>1</v>
      </c>
      <c r="U198">
        <v>1</v>
      </c>
      <c r="V198">
        <v>1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0.75803102728940353</v>
      </c>
      <c r="AF198">
        <v>4.2781325898821332E-2</v>
      </c>
      <c r="AG198">
        <v>5.6437433770752694</v>
      </c>
      <c r="AH198" t="b">
        <v>1</v>
      </c>
      <c r="AJ198">
        <v>1</v>
      </c>
      <c r="AK198" t="s">
        <v>285</v>
      </c>
    </row>
    <row r="199" spans="1:37" x14ac:dyDescent="0.2">
      <c r="A199" s="5">
        <v>245</v>
      </c>
      <c r="B199" t="s">
        <v>56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0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0.57530763378722638</v>
      </c>
      <c r="AF199">
        <v>4.5211924668851697E-3</v>
      </c>
      <c r="AG199">
        <v>0.78587388752732978</v>
      </c>
      <c r="AH199" t="b">
        <v>1</v>
      </c>
      <c r="AJ199">
        <v>1</v>
      </c>
      <c r="AK199" t="s">
        <v>286</v>
      </c>
    </row>
    <row r="200" spans="1:37" x14ac:dyDescent="0.2">
      <c r="A200" s="5">
        <v>246</v>
      </c>
      <c r="B200" t="s">
        <v>57</v>
      </c>
      <c r="C200">
        <v>0</v>
      </c>
      <c r="D200">
        <v>0</v>
      </c>
      <c r="E200">
        <v>1</v>
      </c>
      <c r="F200">
        <v>0</v>
      </c>
      <c r="G200">
        <v>1</v>
      </c>
      <c r="H200">
        <v>0</v>
      </c>
      <c r="I200">
        <v>0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0.68064016841336938</v>
      </c>
      <c r="AF200">
        <v>9.5605703641822148E-3</v>
      </c>
      <c r="AG200">
        <v>1.4046438643885391</v>
      </c>
      <c r="AH200" t="b">
        <v>1</v>
      </c>
      <c r="AJ200">
        <v>4</v>
      </c>
      <c r="AK200" s="6" t="s">
        <v>264</v>
      </c>
    </row>
    <row r="201" spans="1:37" x14ac:dyDescent="0.2">
      <c r="A201" s="5">
        <v>248</v>
      </c>
      <c r="B201" t="s">
        <v>59</v>
      </c>
      <c r="C201">
        <v>0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0</v>
      </c>
      <c r="P201">
        <v>0</v>
      </c>
      <c r="Q201">
        <v>1</v>
      </c>
      <c r="R201">
        <v>1</v>
      </c>
      <c r="S201">
        <v>1</v>
      </c>
      <c r="T201">
        <v>0</v>
      </c>
      <c r="U201">
        <v>1</v>
      </c>
      <c r="V201">
        <v>1</v>
      </c>
      <c r="W201">
        <v>1</v>
      </c>
      <c r="X201">
        <v>1</v>
      </c>
      <c r="Y201">
        <v>0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0.44821658489176108</v>
      </c>
      <c r="AF201">
        <v>9.1988579553878291E-3</v>
      </c>
      <c r="AG201">
        <v>2.0523243149535051</v>
      </c>
      <c r="AH201" t="b">
        <v>1</v>
      </c>
      <c r="AJ201">
        <v>1</v>
      </c>
      <c r="AK201" t="s">
        <v>287</v>
      </c>
    </row>
    <row r="202" spans="1:37" x14ac:dyDescent="0.2">
      <c r="A202" s="5">
        <v>249</v>
      </c>
      <c r="B202" t="s">
        <v>60</v>
      </c>
      <c r="C202">
        <v>0</v>
      </c>
      <c r="D202">
        <v>0</v>
      </c>
      <c r="E202">
        <v>1</v>
      </c>
      <c r="F202">
        <v>1</v>
      </c>
      <c r="G202">
        <v>0</v>
      </c>
      <c r="H202">
        <v>1</v>
      </c>
      <c r="I202">
        <v>1</v>
      </c>
      <c r="J202">
        <v>0</v>
      </c>
      <c r="K202">
        <v>1</v>
      </c>
      <c r="L202">
        <v>1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0.44306396493933892</v>
      </c>
      <c r="AF202">
        <v>1.587349930252108E-2</v>
      </c>
      <c r="AG202">
        <v>3.5826653843749998</v>
      </c>
      <c r="AH202" t="b">
        <v>1</v>
      </c>
      <c r="AJ202">
        <v>1</v>
      </c>
      <c r="AK202" t="s">
        <v>288</v>
      </c>
    </row>
    <row r="203" spans="1:37" x14ac:dyDescent="0.2">
      <c r="A203" s="5">
        <v>250</v>
      </c>
      <c r="B203" t="s">
        <v>61</v>
      </c>
      <c r="C203">
        <v>0</v>
      </c>
      <c r="D203">
        <v>0</v>
      </c>
      <c r="E203">
        <v>1</v>
      </c>
      <c r="F203">
        <v>1</v>
      </c>
      <c r="G203">
        <v>0</v>
      </c>
      <c r="H203">
        <v>1</v>
      </c>
      <c r="I203">
        <v>1</v>
      </c>
      <c r="J203">
        <v>0</v>
      </c>
      <c r="K203">
        <v>1</v>
      </c>
      <c r="L203">
        <v>1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1</v>
      </c>
      <c r="V203">
        <v>1</v>
      </c>
      <c r="W203">
        <v>1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0.47420913164235229</v>
      </c>
      <c r="AF203">
        <v>2.525022903617799E-2</v>
      </c>
      <c r="AG203">
        <v>5.3247032482752088</v>
      </c>
      <c r="AH203" t="b">
        <v>1</v>
      </c>
      <c r="AJ203">
        <v>2</v>
      </c>
      <c r="AK203" s="6" t="s">
        <v>256</v>
      </c>
    </row>
    <row r="204" spans="1:37" x14ac:dyDescent="0.2">
      <c r="A204" s="5">
        <v>251</v>
      </c>
      <c r="B204" t="s">
        <v>62</v>
      </c>
      <c r="C204">
        <v>0</v>
      </c>
      <c r="D204">
        <v>0</v>
      </c>
      <c r="E204">
        <v>1</v>
      </c>
      <c r="F204">
        <v>1</v>
      </c>
      <c r="G204">
        <v>0</v>
      </c>
      <c r="H204">
        <v>1</v>
      </c>
      <c r="I204">
        <v>1</v>
      </c>
      <c r="J204">
        <v>0</v>
      </c>
      <c r="K204">
        <v>1</v>
      </c>
      <c r="L204">
        <v>1</v>
      </c>
      <c r="M204">
        <v>1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1</v>
      </c>
      <c r="T204">
        <v>0</v>
      </c>
      <c r="U204">
        <v>1</v>
      </c>
      <c r="V204">
        <v>1</v>
      </c>
      <c r="W204">
        <v>1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0.51862750017427373</v>
      </c>
      <c r="AF204">
        <v>2.3663241993457249E-2</v>
      </c>
      <c r="AG204">
        <v>4.5626662653842534</v>
      </c>
      <c r="AH204" t="b">
        <v>1</v>
      </c>
      <c r="AJ204">
        <v>1</v>
      </c>
      <c r="AK204" t="s">
        <v>289</v>
      </c>
    </row>
    <row r="205" spans="1:37" x14ac:dyDescent="0.2">
      <c r="A205" s="5">
        <v>252</v>
      </c>
      <c r="B205" t="s">
        <v>63</v>
      </c>
      <c r="C205">
        <v>0</v>
      </c>
      <c r="D205">
        <v>0</v>
      </c>
      <c r="E205">
        <v>1</v>
      </c>
      <c r="F205">
        <v>1</v>
      </c>
      <c r="G205">
        <v>0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0</v>
      </c>
      <c r="P205">
        <v>0</v>
      </c>
      <c r="Q205">
        <v>1</v>
      </c>
      <c r="R205">
        <v>1</v>
      </c>
      <c r="S205">
        <v>1</v>
      </c>
      <c r="T205">
        <v>0</v>
      </c>
      <c r="U205">
        <v>1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0.47526373998676202</v>
      </c>
      <c r="AF205">
        <v>2.3134473714520931E-2</v>
      </c>
      <c r="AG205">
        <v>4.8677127599015479</v>
      </c>
      <c r="AH205" t="b">
        <v>1</v>
      </c>
      <c r="AJ205">
        <v>1</v>
      </c>
      <c r="AK205" t="s">
        <v>290</v>
      </c>
    </row>
    <row r="206" spans="1:37" x14ac:dyDescent="0.2">
      <c r="A206" s="5">
        <v>253</v>
      </c>
      <c r="B206" t="s">
        <v>64</v>
      </c>
      <c r="C206">
        <v>0</v>
      </c>
      <c r="D206">
        <v>0</v>
      </c>
      <c r="E206">
        <v>1</v>
      </c>
      <c r="F206">
        <v>1</v>
      </c>
      <c r="G206">
        <v>0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0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0.63780329791790891</v>
      </c>
      <c r="AF206">
        <v>1.506848913820889E-2</v>
      </c>
      <c r="AG206">
        <v>2.3625605554878049</v>
      </c>
      <c r="AH206" t="b">
        <v>1</v>
      </c>
      <c r="AJ206">
        <v>1</v>
      </c>
      <c r="AK206" t="s">
        <v>291</v>
      </c>
    </row>
    <row r="207" spans="1:37" x14ac:dyDescent="0.2">
      <c r="A207" s="5">
        <v>255</v>
      </c>
      <c r="B207" t="s">
        <v>66</v>
      </c>
      <c r="C207">
        <v>0</v>
      </c>
      <c r="D207">
        <v>0</v>
      </c>
      <c r="E207">
        <v>1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1</v>
      </c>
      <c r="L207">
        <v>1</v>
      </c>
      <c r="M207">
        <v>1</v>
      </c>
      <c r="N207">
        <v>0</v>
      </c>
      <c r="O207">
        <v>1</v>
      </c>
      <c r="P207">
        <v>1</v>
      </c>
      <c r="Q207">
        <v>0</v>
      </c>
      <c r="R207">
        <v>0</v>
      </c>
      <c r="S207">
        <v>0</v>
      </c>
      <c r="T207">
        <v>1</v>
      </c>
      <c r="U207">
        <v>1</v>
      </c>
      <c r="V207">
        <v>1</v>
      </c>
      <c r="W207">
        <v>0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0.59505584426712832</v>
      </c>
      <c r="AF207">
        <v>1.143159412873271E-2</v>
      </c>
      <c r="AG207">
        <v>1.921096017939607</v>
      </c>
      <c r="AH207" t="b">
        <v>1</v>
      </c>
      <c r="AJ207">
        <v>1</v>
      </c>
      <c r="AK207" t="s">
        <v>292</v>
      </c>
    </row>
    <row r="208" spans="1:37" x14ac:dyDescent="0.2">
      <c r="A208" s="5">
        <v>256</v>
      </c>
      <c r="B208" t="s">
        <v>67</v>
      </c>
      <c r="C208">
        <v>0</v>
      </c>
      <c r="D208">
        <v>0</v>
      </c>
      <c r="E208">
        <v>1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1</v>
      </c>
      <c r="L208">
        <v>1</v>
      </c>
      <c r="M208">
        <v>1</v>
      </c>
      <c r="N208">
        <v>0</v>
      </c>
      <c r="O208">
        <v>1</v>
      </c>
      <c r="P208">
        <v>1</v>
      </c>
      <c r="Q208">
        <v>0</v>
      </c>
      <c r="R208">
        <v>0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0.63528158908340926</v>
      </c>
      <c r="AF208">
        <v>1.9001075258906871E-2</v>
      </c>
      <c r="AG208">
        <v>2.9909689790194949</v>
      </c>
      <c r="AH208" t="b">
        <v>1</v>
      </c>
      <c r="AJ208">
        <v>1</v>
      </c>
      <c r="AK208" t="s">
        <v>293</v>
      </c>
    </row>
    <row r="209" spans="1:37" x14ac:dyDescent="0.2">
      <c r="A209" s="5">
        <v>257</v>
      </c>
      <c r="B209" t="s">
        <v>69</v>
      </c>
      <c r="C209">
        <v>0</v>
      </c>
      <c r="D209">
        <v>0</v>
      </c>
      <c r="E209">
        <v>1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1</v>
      </c>
      <c r="L209">
        <v>1</v>
      </c>
      <c r="M209">
        <v>1</v>
      </c>
      <c r="N209">
        <v>0</v>
      </c>
      <c r="O209">
        <v>1</v>
      </c>
      <c r="P209">
        <v>1</v>
      </c>
      <c r="Q209">
        <v>0</v>
      </c>
      <c r="R209">
        <v>0</v>
      </c>
      <c r="S209">
        <v>0</v>
      </c>
      <c r="T209">
        <v>1</v>
      </c>
      <c r="U209">
        <v>1</v>
      </c>
      <c r="V209">
        <v>1</v>
      </c>
      <c r="W209">
        <v>0</v>
      </c>
      <c r="X209">
        <v>0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0.58677019562368338</v>
      </c>
      <c r="AF209">
        <v>6.9017806248203042E-2</v>
      </c>
      <c r="AG209">
        <v>11.762323097348769</v>
      </c>
      <c r="AH209" t="b">
        <v>1</v>
      </c>
      <c r="AJ209">
        <v>1</v>
      </c>
      <c r="AK209" t="s">
        <v>294</v>
      </c>
    </row>
    <row r="210" spans="1:37" x14ac:dyDescent="0.2">
      <c r="A210" s="5">
        <v>258</v>
      </c>
      <c r="B210" t="s">
        <v>70</v>
      </c>
      <c r="C210">
        <v>0</v>
      </c>
      <c r="D210">
        <v>0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0</v>
      </c>
      <c r="P210">
        <v>0</v>
      </c>
      <c r="Q210">
        <v>1</v>
      </c>
      <c r="R210">
        <v>1</v>
      </c>
      <c r="S210">
        <v>0</v>
      </c>
      <c r="T210">
        <v>0</v>
      </c>
      <c r="U210">
        <v>1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0.36551123272317793</v>
      </c>
      <c r="AF210">
        <v>4.7298935409920383E-2</v>
      </c>
      <c r="AG210">
        <v>12.94048750773756</v>
      </c>
      <c r="AH210" t="b">
        <v>1</v>
      </c>
      <c r="AJ210">
        <v>1</v>
      </c>
      <c r="AK210" t="s">
        <v>295</v>
      </c>
    </row>
    <row r="211" spans="1:37" x14ac:dyDescent="0.2">
      <c r="A211" s="5">
        <v>259</v>
      </c>
      <c r="B211" t="s">
        <v>71</v>
      </c>
      <c r="C211">
        <v>0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1</v>
      </c>
      <c r="L211">
        <v>1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1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0.43973677259687582</v>
      </c>
      <c r="AF211">
        <v>5.7828349013787042E-2</v>
      </c>
      <c r="AG211">
        <v>13.150673907092269</v>
      </c>
      <c r="AH211" t="b">
        <v>1</v>
      </c>
      <c r="AJ211">
        <v>1</v>
      </c>
      <c r="AK211" t="s">
        <v>296</v>
      </c>
    </row>
    <row r="212" spans="1:37" x14ac:dyDescent="0.2">
      <c r="A212" s="5">
        <v>260</v>
      </c>
      <c r="B212" t="s">
        <v>72</v>
      </c>
      <c r="C212">
        <v>0</v>
      </c>
      <c r="D212">
        <v>0</v>
      </c>
      <c r="E212">
        <v>1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1</v>
      </c>
      <c r="L212">
        <v>1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1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0.48816324580052972</v>
      </c>
      <c r="AF212">
        <v>8.6987900905289503E-3</v>
      </c>
      <c r="AG212">
        <v>1.781942857304623</v>
      </c>
      <c r="AH212" t="b">
        <v>1</v>
      </c>
      <c r="AJ212">
        <v>1</v>
      </c>
      <c r="AK212" t="s">
        <v>297</v>
      </c>
    </row>
    <row r="213" spans="1:37" x14ac:dyDescent="0.2">
      <c r="A213" s="5">
        <v>261</v>
      </c>
      <c r="B213" t="s">
        <v>73</v>
      </c>
      <c r="C213">
        <v>0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1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0.44685229297709211</v>
      </c>
      <c r="AF213">
        <v>3.0496499881497049E-2</v>
      </c>
      <c r="AG213">
        <v>6.8247383667471642</v>
      </c>
      <c r="AH213" t="b">
        <v>1</v>
      </c>
      <c r="AJ213">
        <v>1</v>
      </c>
      <c r="AK213" t="s">
        <v>298</v>
      </c>
    </row>
    <row r="214" spans="1:37" x14ac:dyDescent="0.2">
      <c r="A214" s="5">
        <v>262</v>
      </c>
      <c r="B214" t="s">
        <v>74</v>
      </c>
      <c r="C214">
        <v>0</v>
      </c>
      <c r="D214">
        <v>0</v>
      </c>
      <c r="E214">
        <v>1</v>
      </c>
      <c r="F214">
        <v>1</v>
      </c>
      <c r="G214">
        <v>0</v>
      </c>
      <c r="H214">
        <v>1</v>
      </c>
      <c r="I214">
        <v>1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0.40618778947019463</v>
      </c>
      <c r="AF214">
        <v>2.4473382732565632E-2</v>
      </c>
      <c r="AG214">
        <v>6.0251399394568574</v>
      </c>
      <c r="AH214" t="b">
        <v>1</v>
      </c>
      <c r="AJ214">
        <v>1</v>
      </c>
      <c r="AK214" t="s">
        <v>299</v>
      </c>
    </row>
    <row r="215" spans="1:37" x14ac:dyDescent="0.2">
      <c r="A215" s="5">
        <v>263</v>
      </c>
      <c r="B215" t="s">
        <v>75</v>
      </c>
      <c r="C215">
        <v>0</v>
      </c>
      <c r="D215">
        <v>0</v>
      </c>
      <c r="E215">
        <v>1</v>
      </c>
      <c r="F215">
        <v>1</v>
      </c>
      <c r="G215">
        <v>0</v>
      </c>
      <c r="H215">
        <v>1</v>
      </c>
      <c r="I215">
        <v>1</v>
      </c>
      <c r="J215">
        <v>0</v>
      </c>
      <c r="K215">
        <v>1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0.33050519273884932</v>
      </c>
      <c r="AF215">
        <v>1.0064982028219789E-2</v>
      </c>
      <c r="AG215">
        <v>3.0453324938143091</v>
      </c>
      <c r="AH215" t="b">
        <v>1</v>
      </c>
      <c r="AJ215">
        <v>2</v>
      </c>
      <c r="AK215" s="6" t="s">
        <v>255</v>
      </c>
    </row>
    <row r="216" spans="1:37" x14ac:dyDescent="0.2">
      <c r="A216" s="5">
        <v>264</v>
      </c>
      <c r="B216" t="s">
        <v>76</v>
      </c>
      <c r="C216">
        <v>0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1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1</v>
      </c>
      <c r="W216">
        <v>0</v>
      </c>
      <c r="X216">
        <v>0</v>
      </c>
      <c r="Y216">
        <v>0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0.50224020371841638</v>
      </c>
      <c r="AF216">
        <v>4.8001454944511879E-3</v>
      </c>
      <c r="AG216">
        <v>0.95574696308908291</v>
      </c>
      <c r="AH216" t="b">
        <v>1</v>
      </c>
      <c r="AJ216">
        <v>1</v>
      </c>
      <c r="AK216" t="s">
        <v>300</v>
      </c>
    </row>
    <row r="217" spans="1:37" x14ac:dyDescent="0.2">
      <c r="A217" s="5">
        <v>265</v>
      </c>
      <c r="B217" t="s">
        <v>77</v>
      </c>
      <c r="C217">
        <v>0</v>
      </c>
      <c r="D217">
        <v>0</v>
      </c>
      <c r="E217">
        <v>1</v>
      </c>
      <c r="F217">
        <v>1</v>
      </c>
      <c r="G217">
        <v>0</v>
      </c>
      <c r="H217">
        <v>1</v>
      </c>
      <c r="I217">
        <v>1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1</v>
      </c>
      <c r="W217">
        <v>0</v>
      </c>
      <c r="X217">
        <v>0</v>
      </c>
      <c r="Y217">
        <v>0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0.30658490851062598</v>
      </c>
      <c r="AF217">
        <v>1.332244245154578E-2</v>
      </c>
      <c r="AG217">
        <v>4.3454332166138032</v>
      </c>
      <c r="AH217" t="b">
        <v>1</v>
      </c>
      <c r="AJ217">
        <v>1</v>
      </c>
      <c r="AK217" t="s">
        <v>301</v>
      </c>
    </row>
    <row r="218" spans="1:37" x14ac:dyDescent="0.2">
      <c r="A218" s="5">
        <v>266</v>
      </c>
      <c r="B218" t="s">
        <v>78</v>
      </c>
      <c r="C218">
        <v>0</v>
      </c>
      <c r="D218">
        <v>0</v>
      </c>
      <c r="E218">
        <v>1</v>
      </c>
      <c r="F218">
        <v>1</v>
      </c>
      <c r="G218">
        <v>0</v>
      </c>
      <c r="H218">
        <v>1</v>
      </c>
      <c r="I218">
        <v>1</v>
      </c>
      <c r="J218">
        <v>0</v>
      </c>
      <c r="K218">
        <v>1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0.36502321751922279</v>
      </c>
      <c r="AF218">
        <v>1.1695610224717899E-2</v>
      </c>
      <c r="AG218">
        <v>3.204072963962076</v>
      </c>
      <c r="AH218" t="b">
        <v>1</v>
      </c>
      <c r="AJ218">
        <v>1</v>
      </c>
      <c r="AK218" t="s">
        <v>302</v>
      </c>
    </row>
    <row r="219" spans="1:37" x14ac:dyDescent="0.2">
      <c r="A219" s="5">
        <v>267</v>
      </c>
      <c r="B219" t="s">
        <v>79</v>
      </c>
      <c r="C219">
        <v>0</v>
      </c>
      <c r="D219">
        <v>0</v>
      </c>
      <c r="E219">
        <v>1</v>
      </c>
      <c r="F219">
        <v>1</v>
      </c>
      <c r="G219">
        <v>0</v>
      </c>
      <c r="H219">
        <v>1</v>
      </c>
      <c r="I219">
        <v>1</v>
      </c>
      <c r="J219">
        <v>0</v>
      </c>
      <c r="K219">
        <v>0</v>
      </c>
      <c r="L219">
        <v>0</v>
      </c>
      <c r="M219">
        <v>1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1</v>
      </c>
      <c r="T219">
        <v>0</v>
      </c>
      <c r="U219">
        <v>1</v>
      </c>
      <c r="V219">
        <v>1</v>
      </c>
      <c r="W219">
        <v>1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0.50955763247133812</v>
      </c>
      <c r="AF219">
        <v>4.74797710305657E-2</v>
      </c>
      <c r="AG219">
        <v>9.3178412028273119</v>
      </c>
      <c r="AH219" t="b">
        <v>1</v>
      </c>
      <c r="AJ219">
        <v>1</v>
      </c>
      <c r="AK219" t="s">
        <v>303</v>
      </c>
    </row>
    <row r="220" spans="1:37" x14ac:dyDescent="0.2">
      <c r="A220" s="5">
        <v>268</v>
      </c>
      <c r="B220" t="s">
        <v>81</v>
      </c>
      <c r="C220">
        <v>0</v>
      </c>
      <c r="D220">
        <v>0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1</v>
      </c>
      <c r="N220">
        <v>0</v>
      </c>
      <c r="O220">
        <v>1</v>
      </c>
      <c r="P220">
        <v>1</v>
      </c>
      <c r="Q220">
        <v>0</v>
      </c>
      <c r="R220">
        <v>0</v>
      </c>
      <c r="S220">
        <v>0</v>
      </c>
      <c r="T220">
        <v>1</v>
      </c>
      <c r="U220">
        <v>1</v>
      </c>
      <c r="V220">
        <v>1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0.48164578642127798</v>
      </c>
      <c r="AF220">
        <v>1.113608703623724E-2</v>
      </c>
      <c r="AG220">
        <v>2.3120906172522631</v>
      </c>
      <c r="AH220" t="b">
        <v>1</v>
      </c>
      <c r="AJ220">
        <v>1</v>
      </c>
      <c r="AK220" t="s">
        <v>304</v>
      </c>
    </row>
    <row r="221" spans="1:37" x14ac:dyDescent="0.2">
      <c r="A221" s="5">
        <v>269</v>
      </c>
      <c r="B221" t="s">
        <v>82</v>
      </c>
      <c r="C221">
        <v>0</v>
      </c>
      <c r="D221">
        <v>0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0</v>
      </c>
      <c r="K221">
        <v>1</v>
      </c>
      <c r="L221">
        <v>1</v>
      </c>
      <c r="M221">
        <v>0</v>
      </c>
      <c r="N221">
        <v>1</v>
      </c>
      <c r="O221">
        <v>0</v>
      </c>
      <c r="P221">
        <v>0</v>
      </c>
      <c r="Q221">
        <v>1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1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0.37695151139042921</v>
      </c>
      <c r="AF221">
        <v>1.69596309473302E-2</v>
      </c>
      <c r="AG221">
        <v>4.4991545158613748</v>
      </c>
      <c r="AH221" t="b">
        <v>1</v>
      </c>
      <c r="AJ221">
        <v>1</v>
      </c>
      <c r="AK221" t="s">
        <v>305</v>
      </c>
    </row>
    <row r="222" spans="1:37" x14ac:dyDescent="0.2">
      <c r="A222" s="5">
        <v>270</v>
      </c>
      <c r="B222" t="s">
        <v>83</v>
      </c>
      <c r="C222">
        <v>0</v>
      </c>
      <c r="D222">
        <v>0</v>
      </c>
      <c r="E222">
        <v>1</v>
      </c>
      <c r="F222">
        <v>1</v>
      </c>
      <c r="G222">
        <v>0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0</v>
      </c>
      <c r="N222">
        <v>1</v>
      </c>
      <c r="O222">
        <v>0</v>
      </c>
      <c r="P222">
        <v>0</v>
      </c>
      <c r="Q222">
        <v>1</v>
      </c>
      <c r="R222">
        <v>1</v>
      </c>
      <c r="S222">
        <v>1</v>
      </c>
      <c r="T222">
        <v>0</v>
      </c>
      <c r="U222">
        <v>0</v>
      </c>
      <c r="V222">
        <v>0</v>
      </c>
      <c r="W222">
        <v>1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0.55480186261004749</v>
      </c>
      <c r="AF222">
        <v>2.2845418260648349E-2</v>
      </c>
      <c r="AG222">
        <v>4.117761637131645</v>
      </c>
      <c r="AH222" t="b">
        <v>1</v>
      </c>
      <c r="AJ222">
        <v>1</v>
      </c>
      <c r="AK222" t="s">
        <v>306</v>
      </c>
    </row>
    <row r="223" spans="1:37" x14ac:dyDescent="0.2">
      <c r="A223" s="5">
        <v>271</v>
      </c>
      <c r="B223" t="s">
        <v>84</v>
      </c>
      <c r="C223">
        <v>0</v>
      </c>
      <c r="D223">
        <v>0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0</v>
      </c>
      <c r="K223">
        <v>1</v>
      </c>
      <c r="L223">
        <v>1</v>
      </c>
      <c r="M223">
        <v>0</v>
      </c>
      <c r="N223">
        <v>0</v>
      </c>
      <c r="O223">
        <v>1</v>
      </c>
      <c r="P223">
        <v>1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0.37299087639744272</v>
      </c>
      <c r="AF223">
        <v>1.5464271200114829E-2</v>
      </c>
      <c r="AG223">
        <v>4.1460186236932994</v>
      </c>
      <c r="AH223" t="b">
        <v>1</v>
      </c>
      <c r="AJ223">
        <v>1</v>
      </c>
      <c r="AK223" t="s">
        <v>307</v>
      </c>
    </row>
    <row r="224" spans="1:37" x14ac:dyDescent="0.2">
      <c r="A224" s="5">
        <v>272</v>
      </c>
      <c r="B224">
        <v>12</v>
      </c>
      <c r="C224">
        <v>0</v>
      </c>
      <c r="D224">
        <v>0</v>
      </c>
      <c r="E224">
        <v>0</v>
      </c>
      <c r="F224">
        <v>1</v>
      </c>
      <c r="G224">
        <v>1</v>
      </c>
      <c r="H224">
        <v>1</v>
      </c>
      <c r="I224">
        <v>1</v>
      </c>
      <c r="J224">
        <v>0</v>
      </c>
      <c r="K224">
        <v>1</v>
      </c>
      <c r="L224">
        <v>1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1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0.16134567490005369</v>
      </c>
      <c r="AF224">
        <v>1.7885523533009779E-2</v>
      </c>
      <c r="AG224">
        <v>11.08522031600106</v>
      </c>
      <c r="AH224" t="b">
        <v>1</v>
      </c>
      <c r="AJ224">
        <v>1</v>
      </c>
      <c r="AK224" t="s">
        <v>308</v>
      </c>
    </row>
    <row r="225" spans="1:37" x14ac:dyDescent="0.2">
      <c r="A225" s="5">
        <v>273</v>
      </c>
      <c r="B225">
        <v>13</v>
      </c>
      <c r="C225">
        <v>0</v>
      </c>
      <c r="D225">
        <v>0</v>
      </c>
      <c r="E225">
        <v>0</v>
      </c>
      <c r="F225">
        <v>1</v>
      </c>
      <c r="G225">
        <v>1</v>
      </c>
      <c r="H225">
        <v>1</v>
      </c>
      <c r="I225">
        <v>1</v>
      </c>
      <c r="J225">
        <v>0</v>
      </c>
      <c r="K225">
        <v>1</v>
      </c>
      <c r="L225">
        <v>1</v>
      </c>
      <c r="M225">
        <v>1</v>
      </c>
      <c r="N225">
        <v>0</v>
      </c>
      <c r="O225">
        <v>1</v>
      </c>
      <c r="P225">
        <v>1</v>
      </c>
      <c r="Q225">
        <v>0</v>
      </c>
      <c r="R225">
        <v>0</v>
      </c>
      <c r="S225">
        <v>0</v>
      </c>
      <c r="T225">
        <v>1</v>
      </c>
      <c r="U225">
        <v>1</v>
      </c>
      <c r="V225">
        <v>1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0.51609880928158169</v>
      </c>
      <c r="AF225">
        <v>9.6892921738277182E-3</v>
      </c>
      <c r="AG225">
        <v>1.877410294225514</v>
      </c>
      <c r="AH225" t="b">
        <v>1</v>
      </c>
      <c r="AJ225">
        <v>1</v>
      </c>
      <c r="AK225" t="s">
        <v>309</v>
      </c>
    </row>
    <row r="226" spans="1:37" x14ac:dyDescent="0.2">
      <c r="A226" s="5">
        <v>274</v>
      </c>
      <c r="B226">
        <v>14</v>
      </c>
      <c r="C226">
        <v>0</v>
      </c>
      <c r="D226">
        <v>0</v>
      </c>
      <c r="E226">
        <v>0</v>
      </c>
      <c r="F226">
        <v>1</v>
      </c>
      <c r="G226">
        <v>1</v>
      </c>
      <c r="H226">
        <v>1</v>
      </c>
      <c r="I226">
        <v>1</v>
      </c>
      <c r="J226">
        <v>0</v>
      </c>
      <c r="K226">
        <v>1</v>
      </c>
      <c r="L226">
        <v>1</v>
      </c>
      <c r="M226">
        <v>1</v>
      </c>
      <c r="N226">
        <v>0</v>
      </c>
      <c r="O226">
        <v>1</v>
      </c>
      <c r="P226">
        <v>1</v>
      </c>
      <c r="Q226">
        <v>1</v>
      </c>
      <c r="R226">
        <v>0</v>
      </c>
      <c r="S226">
        <v>0</v>
      </c>
      <c r="T226">
        <v>1</v>
      </c>
      <c r="U226">
        <v>1</v>
      </c>
      <c r="V226">
        <v>1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0.52443782631879821</v>
      </c>
      <c r="AF226">
        <v>1.2647578465889301E-2</v>
      </c>
      <c r="AG226">
        <v>2.4116449712765422</v>
      </c>
      <c r="AH226" t="b">
        <v>1</v>
      </c>
      <c r="AJ226">
        <v>2</v>
      </c>
      <c r="AK226" s="6" t="s">
        <v>310</v>
      </c>
    </row>
    <row r="227" spans="1:37" x14ac:dyDescent="0.2">
      <c r="A227" s="5">
        <v>275</v>
      </c>
      <c r="B227">
        <v>15</v>
      </c>
      <c r="C227">
        <v>0</v>
      </c>
      <c r="D227">
        <v>0</v>
      </c>
      <c r="E227">
        <v>0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0</v>
      </c>
      <c r="O227">
        <v>1</v>
      </c>
      <c r="P227">
        <v>1</v>
      </c>
      <c r="Q227">
        <v>1</v>
      </c>
      <c r="R227">
        <v>1</v>
      </c>
      <c r="S227">
        <v>0</v>
      </c>
      <c r="T227">
        <v>1</v>
      </c>
      <c r="U227">
        <v>1</v>
      </c>
      <c r="V227">
        <v>1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0.58560751448712522</v>
      </c>
      <c r="AF227">
        <v>5.0158482010055343E-2</v>
      </c>
      <c r="AG227">
        <v>8.5652046411979725</v>
      </c>
      <c r="AH227" t="b">
        <v>1</v>
      </c>
      <c r="AJ227">
        <v>1</v>
      </c>
      <c r="AK227" t="s">
        <v>311</v>
      </c>
    </row>
    <row r="228" spans="1:37" x14ac:dyDescent="0.2">
      <c r="A228" s="5">
        <v>276</v>
      </c>
      <c r="B228">
        <v>16</v>
      </c>
      <c r="C228">
        <v>0</v>
      </c>
      <c r="D228">
        <v>0</v>
      </c>
      <c r="E228">
        <v>0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0</v>
      </c>
      <c r="T228">
        <v>1</v>
      </c>
      <c r="U228">
        <v>1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0.46548953757131678</v>
      </c>
      <c r="AF228">
        <v>7.9809867064142472E-3</v>
      </c>
      <c r="AG228">
        <v>1.7145362166580369</v>
      </c>
      <c r="AH228" t="b">
        <v>1</v>
      </c>
      <c r="AJ228">
        <v>1</v>
      </c>
      <c r="AK228" t="s">
        <v>312</v>
      </c>
    </row>
    <row r="229" spans="1:37" x14ac:dyDescent="0.2">
      <c r="A229" s="5">
        <v>277</v>
      </c>
      <c r="B229">
        <v>17</v>
      </c>
      <c r="C229">
        <v>0</v>
      </c>
      <c r="D229">
        <v>0</v>
      </c>
      <c r="E229">
        <v>0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0.60038047094926505</v>
      </c>
      <c r="AF229">
        <v>8.3627670827392201E-3</v>
      </c>
      <c r="AG229">
        <v>1.3929112433515369</v>
      </c>
      <c r="AH229" t="b">
        <v>1</v>
      </c>
      <c r="AJ229">
        <v>4</v>
      </c>
      <c r="AK229" s="6" t="s">
        <v>313</v>
      </c>
    </row>
    <row r="230" spans="1:37" x14ac:dyDescent="0.2">
      <c r="A230" s="5">
        <v>278</v>
      </c>
      <c r="B230">
        <v>19</v>
      </c>
      <c r="C230">
        <v>0</v>
      </c>
      <c r="D230">
        <v>0</v>
      </c>
      <c r="E230">
        <v>0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0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</v>
      </c>
      <c r="V230">
        <v>0</v>
      </c>
      <c r="W230">
        <v>1</v>
      </c>
      <c r="X230">
        <v>1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0.1707845273051608</v>
      </c>
      <c r="AF230">
        <v>4.1372348498160526E-3</v>
      </c>
      <c r="AG230">
        <v>2.4224880995358369</v>
      </c>
      <c r="AH230" t="b">
        <v>1</v>
      </c>
      <c r="AJ230">
        <v>2</v>
      </c>
      <c r="AK230" s="6" t="s">
        <v>314</v>
      </c>
    </row>
    <row r="231" spans="1:37" x14ac:dyDescent="0.2">
      <c r="A231" s="5">
        <v>279</v>
      </c>
      <c r="B231">
        <v>20</v>
      </c>
      <c r="C231">
        <v>0</v>
      </c>
      <c r="D231">
        <v>0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0.60263422497734676</v>
      </c>
      <c r="AF231">
        <v>9.804417129259918E-3</v>
      </c>
      <c r="AG231">
        <v>1.6269267032798329</v>
      </c>
      <c r="AH231" t="b">
        <v>1</v>
      </c>
      <c r="AJ231">
        <v>4</v>
      </c>
      <c r="AK231" s="6" t="s">
        <v>315</v>
      </c>
    </row>
    <row r="232" spans="1:37" x14ac:dyDescent="0.2">
      <c r="A232" s="5">
        <v>280</v>
      </c>
      <c r="B232">
        <v>21</v>
      </c>
      <c r="C232">
        <v>0</v>
      </c>
      <c r="D232">
        <v>0</v>
      </c>
      <c r="E232">
        <v>0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0</v>
      </c>
      <c r="L232">
        <v>0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0.56664250739446853</v>
      </c>
      <c r="AF232">
        <v>5.7041708547224436E-3</v>
      </c>
      <c r="AG232">
        <v>1.0066613041353569</v>
      </c>
      <c r="AH232" t="b">
        <v>1</v>
      </c>
      <c r="AJ232">
        <v>1</v>
      </c>
      <c r="AK232" t="s">
        <v>316</v>
      </c>
    </row>
    <row r="233" spans="1:37" x14ac:dyDescent="0.2">
      <c r="A233" s="5">
        <v>281</v>
      </c>
      <c r="B233">
        <v>22</v>
      </c>
      <c r="C233">
        <v>0</v>
      </c>
      <c r="D233">
        <v>0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0.5542982037059212</v>
      </c>
      <c r="AF233">
        <v>1.0547354311653699E-2</v>
      </c>
      <c r="AG233">
        <v>1.902830325109536</v>
      </c>
      <c r="AH233" t="b">
        <v>1</v>
      </c>
      <c r="AJ233">
        <v>2</v>
      </c>
      <c r="AK233" s="6" t="s">
        <v>317</v>
      </c>
    </row>
    <row r="234" spans="1:37" x14ac:dyDescent="0.2">
      <c r="A234" s="5">
        <v>283</v>
      </c>
      <c r="B234">
        <v>29</v>
      </c>
      <c r="C234">
        <v>0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1</v>
      </c>
      <c r="L234">
        <v>1</v>
      </c>
      <c r="M234">
        <v>1</v>
      </c>
      <c r="N234">
        <v>0</v>
      </c>
      <c r="O234">
        <v>1</v>
      </c>
      <c r="P234">
        <v>1</v>
      </c>
      <c r="Q234">
        <v>1</v>
      </c>
      <c r="R234">
        <v>0</v>
      </c>
      <c r="S234">
        <v>0</v>
      </c>
      <c r="T234">
        <v>1</v>
      </c>
      <c r="U234">
        <v>1</v>
      </c>
      <c r="V234">
        <v>1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0.47688878290500009</v>
      </c>
      <c r="AF234">
        <v>8.0344778856528097E-3</v>
      </c>
      <c r="AG234">
        <v>1.684769735347988</v>
      </c>
      <c r="AH234" t="b">
        <v>1</v>
      </c>
      <c r="AJ234">
        <v>1</v>
      </c>
      <c r="AK234" t="s">
        <v>318</v>
      </c>
    </row>
    <row r="235" spans="1:37" x14ac:dyDescent="0.2">
      <c r="A235" s="5">
        <v>284</v>
      </c>
      <c r="B235">
        <v>13</v>
      </c>
      <c r="C235">
        <v>0</v>
      </c>
      <c r="D235">
        <v>0</v>
      </c>
      <c r="E235">
        <v>0</v>
      </c>
      <c r="F235">
        <v>1</v>
      </c>
      <c r="G235">
        <v>1</v>
      </c>
      <c r="H235">
        <v>1</v>
      </c>
      <c r="I235">
        <v>1</v>
      </c>
      <c r="J235">
        <v>0</v>
      </c>
      <c r="K235">
        <v>1</v>
      </c>
      <c r="L235">
        <v>1</v>
      </c>
      <c r="M235">
        <v>1</v>
      </c>
      <c r="N235">
        <v>0</v>
      </c>
      <c r="O235">
        <v>1</v>
      </c>
      <c r="P235">
        <v>1</v>
      </c>
      <c r="Q235">
        <v>0</v>
      </c>
      <c r="R235">
        <v>0</v>
      </c>
      <c r="S235">
        <v>0</v>
      </c>
      <c r="T235">
        <v>1</v>
      </c>
      <c r="U235">
        <v>1</v>
      </c>
      <c r="V235">
        <v>1</v>
      </c>
      <c r="W235">
        <v>0</v>
      </c>
      <c r="X235">
        <v>0</v>
      </c>
      <c r="Y235">
        <v>1</v>
      </c>
      <c r="Z235">
        <v>1</v>
      </c>
      <c r="AA235">
        <v>1</v>
      </c>
      <c r="AB235">
        <v>0</v>
      </c>
      <c r="AC235">
        <v>0</v>
      </c>
      <c r="AD235">
        <v>0</v>
      </c>
      <c r="AE235">
        <v>0.30035088832481011</v>
      </c>
      <c r="AF235">
        <v>1.1206178661602941E-3</v>
      </c>
      <c r="AG235">
        <v>0.37310289721814238</v>
      </c>
      <c r="AH235" t="b">
        <v>1</v>
      </c>
      <c r="AJ235">
        <v>1</v>
      </c>
      <c r="AK235" t="s">
        <v>319</v>
      </c>
    </row>
    <row r="236" spans="1:37" x14ac:dyDescent="0.2">
      <c r="A236" s="5">
        <v>285</v>
      </c>
      <c r="B236">
        <v>14</v>
      </c>
      <c r="C236">
        <v>0</v>
      </c>
      <c r="D236">
        <v>0</v>
      </c>
      <c r="E236">
        <v>0</v>
      </c>
      <c r="F236">
        <v>1</v>
      </c>
      <c r="G236">
        <v>1</v>
      </c>
      <c r="H236">
        <v>1</v>
      </c>
      <c r="I236">
        <v>1</v>
      </c>
      <c r="J236">
        <v>0</v>
      </c>
      <c r="K236">
        <v>1</v>
      </c>
      <c r="L236">
        <v>1</v>
      </c>
      <c r="M236">
        <v>1</v>
      </c>
      <c r="N236">
        <v>0</v>
      </c>
      <c r="O236">
        <v>1</v>
      </c>
      <c r="P236">
        <v>1</v>
      </c>
      <c r="Q236">
        <v>1</v>
      </c>
      <c r="R236">
        <v>0</v>
      </c>
      <c r="S236">
        <v>0</v>
      </c>
      <c r="T236">
        <v>1</v>
      </c>
      <c r="U236">
        <v>1</v>
      </c>
      <c r="V236">
        <v>1</v>
      </c>
      <c r="W236">
        <v>0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>
        <v>0.36984629833047228</v>
      </c>
      <c r="AF236">
        <v>7.2485518527023287E-3</v>
      </c>
      <c r="AG236">
        <v>1.9598822228106929</v>
      </c>
      <c r="AH236" t="b">
        <v>1</v>
      </c>
      <c r="AJ236">
        <v>2</v>
      </c>
      <c r="AK236" s="6" t="s">
        <v>320</v>
      </c>
    </row>
    <row r="237" spans="1:37" x14ac:dyDescent="0.2">
      <c r="A237" s="5">
        <v>286</v>
      </c>
      <c r="B237">
        <v>15</v>
      </c>
      <c r="C237">
        <v>0</v>
      </c>
      <c r="D237">
        <v>0</v>
      </c>
      <c r="E237">
        <v>0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0</v>
      </c>
      <c r="O237">
        <v>1</v>
      </c>
      <c r="P237">
        <v>1</v>
      </c>
      <c r="Q237">
        <v>1</v>
      </c>
      <c r="R237">
        <v>1</v>
      </c>
      <c r="S237">
        <v>0</v>
      </c>
      <c r="T237">
        <v>1</v>
      </c>
      <c r="U237">
        <v>1</v>
      </c>
      <c r="V237">
        <v>1</v>
      </c>
      <c r="W237">
        <v>0</v>
      </c>
      <c r="X237">
        <v>0</v>
      </c>
      <c r="Y237">
        <v>1</v>
      </c>
      <c r="Z237">
        <v>1</v>
      </c>
      <c r="AA237">
        <v>1</v>
      </c>
      <c r="AB237">
        <v>0</v>
      </c>
      <c r="AC237">
        <v>0</v>
      </c>
      <c r="AD237">
        <v>0</v>
      </c>
      <c r="AE237">
        <v>0.54343500890418295</v>
      </c>
      <c r="AF237">
        <v>1.110437647602935E-2</v>
      </c>
      <c r="AG237">
        <v>2.0433678901955399</v>
      </c>
      <c r="AH237" t="b">
        <v>1</v>
      </c>
      <c r="AJ237">
        <v>1</v>
      </c>
      <c r="AK237" t="s">
        <v>321</v>
      </c>
    </row>
    <row r="238" spans="1:37" x14ac:dyDescent="0.2">
      <c r="A238" s="5">
        <v>287</v>
      </c>
      <c r="B238">
        <v>16</v>
      </c>
      <c r="C238">
        <v>0</v>
      </c>
      <c r="D238">
        <v>0</v>
      </c>
      <c r="E238">
        <v>0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0</v>
      </c>
      <c r="T238">
        <v>1</v>
      </c>
      <c r="U238">
        <v>1</v>
      </c>
      <c r="V238">
        <v>1</v>
      </c>
      <c r="W238">
        <v>0</v>
      </c>
      <c r="X238">
        <v>0</v>
      </c>
      <c r="Y238">
        <v>1</v>
      </c>
      <c r="Z238">
        <v>1</v>
      </c>
      <c r="AA238">
        <v>1</v>
      </c>
      <c r="AB238">
        <v>0</v>
      </c>
      <c r="AC238">
        <v>0</v>
      </c>
      <c r="AD238">
        <v>0</v>
      </c>
      <c r="AE238">
        <v>0.51617338544320057</v>
      </c>
      <c r="AF238">
        <v>1.973387115321289E-2</v>
      </c>
      <c r="AG238">
        <v>3.8231089997538028</v>
      </c>
      <c r="AH238" t="b">
        <v>1</v>
      </c>
      <c r="AJ238">
        <v>1</v>
      </c>
      <c r="AK238" t="s">
        <v>322</v>
      </c>
    </row>
    <row r="239" spans="1:37" x14ac:dyDescent="0.2">
      <c r="A239" s="5">
        <v>288</v>
      </c>
      <c r="B239">
        <v>17</v>
      </c>
      <c r="C239">
        <v>0</v>
      </c>
      <c r="D239">
        <v>0</v>
      </c>
      <c r="E239">
        <v>0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0</v>
      </c>
      <c r="AC239">
        <v>0</v>
      </c>
      <c r="AD239">
        <v>0</v>
      </c>
      <c r="AE239">
        <v>0.46638163584106163</v>
      </c>
      <c r="AF239">
        <v>8.627212189699144E-3</v>
      </c>
      <c r="AG239">
        <v>1.849818158929228</v>
      </c>
      <c r="AH239" t="b">
        <v>1</v>
      </c>
      <c r="AJ239">
        <v>2</v>
      </c>
      <c r="AK239" s="6" t="s">
        <v>323</v>
      </c>
    </row>
    <row r="240" spans="1:37" x14ac:dyDescent="0.2">
      <c r="A240" s="5">
        <v>289</v>
      </c>
      <c r="B240">
        <v>19</v>
      </c>
      <c r="C240">
        <v>0</v>
      </c>
      <c r="D240">
        <v>0</v>
      </c>
      <c r="E240">
        <v>0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0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</v>
      </c>
      <c r="V240">
        <v>0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0</v>
      </c>
      <c r="AC240">
        <v>0</v>
      </c>
      <c r="AD240">
        <v>0</v>
      </c>
      <c r="AE240">
        <v>0.13529376045531091</v>
      </c>
      <c r="AF240">
        <v>3.475350910985729E-3</v>
      </c>
      <c r="AG240">
        <v>2.568744411634325</v>
      </c>
      <c r="AH240" t="b">
        <v>1</v>
      </c>
      <c r="AJ240">
        <v>1</v>
      </c>
      <c r="AK240" t="s">
        <v>324</v>
      </c>
    </row>
    <row r="241" spans="1:37" x14ac:dyDescent="0.2">
      <c r="A241" s="5">
        <v>290</v>
      </c>
      <c r="B241">
        <v>20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0</v>
      </c>
      <c r="AC241">
        <v>0</v>
      </c>
      <c r="AD241">
        <v>0</v>
      </c>
      <c r="AE241">
        <v>0.44369822448293289</v>
      </c>
      <c r="AF241">
        <v>1.2000120284374071E-2</v>
      </c>
      <c r="AG241">
        <v>2.7045680199325801</v>
      </c>
      <c r="AH241" t="b">
        <v>1</v>
      </c>
      <c r="AJ241">
        <v>1</v>
      </c>
      <c r="AK241" t="s">
        <v>325</v>
      </c>
    </row>
    <row r="242" spans="1:37" x14ac:dyDescent="0.2">
      <c r="A242" s="5">
        <v>291</v>
      </c>
      <c r="B242">
        <v>21</v>
      </c>
      <c r="C242">
        <v>0</v>
      </c>
      <c r="D242">
        <v>0</v>
      </c>
      <c r="E242">
        <v>0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0</v>
      </c>
      <c r="L242">
        <v>0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0</v>
      </c>
      <c r="AC242">
        <v>0</v>
      </c>
      <c r="AD242">
        <v>0</v>
      </c>
      <c r="AE242">
        <v>0.3103873979250672</v>
      </c>
      <c r="AF242">
        <v>1.0859443940033501E-2</v>
      </c>
      <c r="AG242">
        <v>3.4986742414893901</v>
      </c>
      <c r="AH242" t="b">
        <v>1</v>
      </c>
      <c r="AJ242">
        <v>1</v>
      </c>
      <c r="AK242" t="s">
        <v>326</v>
      </c>
    </row>
    <row r="243" spans="1:37" x14ac:dyDescent="0.2">
      <c r="A243" s="5">
        <v>292</v>
      </c>
      <c r="B243">
        <v>22</v>
      </c>
      <c r="C243">
        <v>0</v>
      </c>
      <c r="D243">
        <v>0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0</v>
      </c>
      <c r="AC243">
        <v>0</v>
      </c>
      <c r="AD243">
        <v>0</v>
      </c>
      <c r="AE243">
        <v>0.36725700444894321</v>
      </c>
      <c r="AF243">
        <v>8.0383961106445054E-3</v>
      </c>
      <c r="AG243">
        <v>2.1887659086872548</v>
      </c>
      <c r="AH243" t="b">
        <v>1</v>
      </c>
      <c r="AJ243">
        <v>1</v>
      </c>
      <c r="AK243" t="s">
        <v>327</v>
      </c>
    </row>
    <row r="244" spans="1:37" x14ac:dyDescent="0.2">
      <c r="A244" s="5">
        <v>293</v>
      </c>
      <c r="B244">
        <v>23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0</v>
      </c>
      <c r="P244">
        <v>0</v>
      </c>
      <c r="Q244">
        <v>0</v>
      </c>
      <c r="R244">
        <v>1</v>
      </c>
      <c r="S244">
        <v>1</v>
      </c>
      <c r="T244">
        <v>0</v>
      </c>
      <c r="U244">
        <v>1</v>
      </c>
      <c r="V244">
        <v>1</v>
      </c>
      <c r="W244">
        <v>1</v>
      </c>
      <c r="X244">
        <v>1</v>
      </c>
      <c r="Y244">
        <v>0</v>
      </c>
      <c r="Z244">
        <v>1</v>
      </c>
      <c r="AA244">
        <v>1</v>
      </c>
      <c r="AB244">
        <v>0</v>
      </c>
      <c r="AC244">
        <v>0</v>
      </c>
      <c r="AD244">
        <v>0</v>
      </c>
      <c r="AE244">
        <v>0.15566755708845659</v>
      </c>
      <c r="AF244">
        <v>1.4879915179845561E-2</v>
      </c>
      <c r="AG244">
        <v>9.558777344588373</v>
      </c>
      <c r="AH244" t="b">
        <v>1</v>
      </c>
      <c r="AJ244">
        <v>1</v>
      </c>
      <c r="AK244" t="s">
        <v>328</v>
      </c>
    </row>
    <row r="245" spans="1:37" x14ac:dyDescent="0.2">
      <c r="A245" s="5">
        <v>295</v>
      </c>
      <c r="B245">
        <v>29</v>
      </c>
      <c r="C245">
        <v>0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1</v>
      </c>
      <c r="L245">
        <v>1</v>
      </c>
      <c r="M245">
        <v>1</v>
      </c>
      <c r="N245">
        <v>0</v>
      </c>
      <c r="O245">
        <v>1</v>
      </c>
      <c r="P245">
        <v>1</v>
      </c>
      <c r="Q245">
        <v>1</v>
      </c>
      <c r="R245">
        <v>0</v>
      </c>
      <c r="S245">
        <v>0</v>
      </c>
      <c r="T245">
        <v>1</v>
      </c>
      <c r="U245">
        <v>1</v>
      </c>
      <c r="V245">
        <v>1</v>
      </c>
      <c r="W245">
        <v>0</v>
      </c>
      <c r="X245">
        <v>0</v>
      </c>
      <c r="Y245">
        <v>1</v>
      </c>
      <c r="Z245">
        <v>1</v>
      </c>
      <c r="AA245">
        <v>1</v>
      </c>
      <c r="AB245">
        <v>0</v>
      </c>
      <c r="AC245">
        <v>0</v>
      </c>
      <c r="AD245">
        <v>0</v>
      </c>
      <c r="AE245">
        <v>0.39481252147366219</v>
      </c>
      <c r="AF245">
        <v>1.842754707235621E-2</v>
      </c>
      <c r="AG245">
        <v>4.6674170828154713</v>
      </c>
      <c r="AH245" t="b">
        <v>1</v>
      </c>
      <c r="AJ245">
        <v>1</v>
      </c>
      <c r="AK245" t="s">
        <v>329</v>
      </c>
    </row>
    <row r="246" spans="1:37" x14ac:dyDescent="0.2">
      <c r="A246" s="5">
        <v>296</v>
      </c>
      <c r="B246">
        <v>13</v>
      </c>
      <c r="C246">
        <v>0</v>
      </c>
      <c r="D246">
        <v>0</v>
      </c>
      <c r="E246">
        <v>0</v>
      </c>
      <c r="F246">
        <v>1</v>
      </c>
      <c r="G246">
        <v>1</v>
      </c>
      <c r="H246">
        <v>1</v>
      </c>
      <c r="I246">
        <v>1</v>
      </c>
      <c r="J246">
        <v>0</v>
      </c>
      <c r="K246">
        <v>1</v>
      </c>
      <c r="L246">
        <v>1</v>
      </c>
      <c r="M246">
        <v>1</v>
      </c>
      <c r="N246">
        <v>0</v>
      </c>
      <c r="O246">
        <v>1</v>
      </c>
      <c r="P246">
        <v>1</v>
      </c>
      <c r="Q246">
        <v>0</v>
      </c>
      <c r="R246">
        <v>0</v>
      </c>
      <c r="S246">
        <v>0</v>
      </c>
      <c r="T246">
        <v>1</v>
      </c>
      <c r="U246">
        <v>1</v>
      </c>
      <c r="V246">
        <v>1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1</v>
      </c>
      <c r="AC246">
        <v>1</v>
      </c>
      <c r="AD246">
        <v>1</v>
      </c>
      <c r="AE246">
        <v>0.47977594970724841</v>
      </c>
      <c r="AF246">
        <v>1.258393900823975E-2</v>
      </c>
      <c r="AG246">
        <v>2.622878244713656</v>
      </c>
      <c r="AH246" t="b">
        <v>1</v>
      </c>
      <c r="AJ246">
        <v>1</v>
      </c>
      <c r="AK246" t="s">
        <v>330</v>
      </c>
    </row>
    <row r="247" spans="1:37" x14ac:dyDescent="0.2">
      <c r="A247" s="5">
        <v>297</v>
      </c>
      <c r="B247">
        <v>14</v>
      </c>
      <c r="C247">
        <v>0</v>
      </c>
      <c r="D247">
        <v>0</v>
      </c>
      <c r="E247">
        <v>0</v>
      </c>
      <c r="F247">
        <v>1</v>
      </c>
      <c r="G247">
        <v>1</v>
      </c>
      <c r="H247">
        <v>1</v>
      </c>
      <c r="I247">
        <v>1</v>
      </c>
      <c r="J247">
        <v>0</v>
      </c>
      <c r="K247">
        <v>1</v>
      </c>
      <c r="L247">
        <v>1</v>
      </c>
      <c r="M247">
        <v>1</v>
      </c>
      <c r="N247">
        <v>0</v>
      </c>
      <c r="O247">
        <v>1</v>
      </c>
      <c r="P247">
        <v>1</v>
      </c>
      <c r="Q247">
        <v>1</v>
      </c>
      <c r="R247">
        <v>0</v>
      </c>
      <c r="S247">
        <v>0</v>
      </c>
      <c r="T247">
        <v>1</v>
      </c>
      <c r="U247">
        <v>1</v>
      </c>
      <c r="V247">
        <v>1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1</v>
      </c>
      <c r="AC247">
        <v>1</v>
      </c>
      <c r="AD247">
        <v>1</v>
      </c>
      <c r="AE247">
        <v>0.4655157805641138</v>
      </c>
      <c r="AF247">
        <v>5.0139398197657338E-3</v>
      </c>
      <c r="AG247">
        <v>1.0770719337784469</v>
      </c>
      <c r="AH247" t="b">
        <v>1</v>
      </c>
      <c r="AJ247">
        <v>2</v>
      </c>
      <c r="AK247" s="6" t="s">
        <v>331</v>
      </c>
    </row>
    <row r="248" spans="1:37" x14ac:dyDescent="0.2">
      <c r="A248" s="5">
        <v>298</v>
      </c>
      <c r="B248">
        <v>15</v>
      </c>
      <c r="C248">
        <v>0</v>
      </c>
      <c r="D248">
        <v>0</v>
      </c>
      <c r="E248">
        <v>0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0</v>
      </c>
      <c r="O248">
        <v>1</v>
      </c>
      <c r="P248">
        <v>1</v>
      </c>
      <c r="Q248">
        <v>1</v>
      </c>
      <c r="R248">
        <v>1</v>
      </c>
      <c r="S248">
        <v>0</v>
      </c>
      <c r="T248">
        <v>1</v>
      </c>
      <c r="U248">
        <v>1</v>
      </c>
      <c r="V248">
        <v>1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1</v>
      </c>
      <c r="AC248">
        <v>1</v>
      </c>
      <c r="AD248">
        <v>1</v>
      </c>
      <c r="AE248">
        <v>0.57846570163285538</v>
      </c>
      <c r="AF248">
        <v>6.3275101071999483E-3</v>
      </c>
      <c r="AG248">
        <v>1.093843608936375</v>
      </c>
      <c r="AH248" t="b">
        <v>1</v>
      </c>
      <c r="AJ248">
        <v>1</v>
      </c>
      <c r="AK248" t="s">
        <v>332</v>
      </c>
    </row>
    <row r="249" spans="1:37" x14ac:dyDescent="0.2">
      <c r="A249" s="5">
        <v>299</v>
      </c>
      <c r="B249">
        <v>16</v>
      </c>
      <c r="C249">
        <v>0</v>
      </c>
      <c r="D249">
        <v>0</v>
      </c>
      <c r="E249">
        <v>0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0</v>
      </c>
      <c r="T249">
        <v>1</v>
      </c>
      <c r="U249">
        <v>1</v>
      </c>
      <c r="V249">
        <v>1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1</v>
      </c>
      <c r="AC249">
        <v>1</v>
      </c>
      <c r="AD249">
        <v>1</v>
      </c>
      <c r="AE249">
        <v>0.55852320953099566</v>
      </c>
      <c r="AF249">
        <v>1.1378822275583371E-2</v>
      </c>
      <c r="AG249">
        <v>2.037305179338639</v>
      </c>
      <c r="AH249" t="b">
        <v>1</v>
      </c>
      <c r="AJ249">
        <v>1</v>
      </c>
      <c r="AK249" t="s">
        <v>333</v>
      </c>
    </row>
    <row r="250" spans="1:37" x14ac:dyDescent="0.2">
      <c r="A250" s="5">
        <v>300</v>
      </c>
      <c r="B250">
        <v>17</v>
      </c>
      <c r="C250">
        <v>0</v>
      </c>
      <c r="D250">
        <v>0</v>
      </c>
      <c r="E250">
        <v>0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0</v>
      </c>
      <c r="AA250">
        <v>0</v>
      </c>
      <c r="AB250">
        <v>1</v>
      </c>
      <c r="AC250">
        <v>1</v>
      </c>
      <c r="AD250">
        <v>1</v>
      </c>
      <c r="AE250">
        <v>0.81330836884138269</v>
      </c>
      <c r="AF250">
        <v>1.023626291855686E-2</v>
      </c>
      <c r="AG250">
        <v>1.2585955476075039</v>
      </c>
      <c r="AH250" t="b">
        <v>1</v>
      </c>
      <c r="AJ250">
        <v>2</v>
      </c>
      <c r="AK250" s="6" t="s">
        <v>334</v>
      </c>
    </row>
    <row r="251" spans="1:37" x14ac:dyDescent="0.2">
      <c r="A251" s="5">
        <v>301</v>
      </c>
      <c r="B251">
        <v>19</v>
      </c>
      <c r="C251">
        <v>0</v>
      </c>
      <c r="D251">
        <v>0</v>
      </c>
      <c r="E251">
        <v>0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0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</v>
      </c>
      <c r="V251">
        <v>0</v>
      </c>
      <c r="W251">
        <v>1</v>
      </c>
      <c r="X251">
        <v>1</v>
      </c>
      <c r="Y251">
        <v>1</v>
      </c>
      <c r="Z251">
        <v>0</v>
      </c>
      <c r="AA251">
        <v>0</v>
      </c>
      <c r="AB251">
        <v>1</v>
      </c>
      <c r="AC251">
        <v>1</v>
      </c>
      <c r="AD251">
        <v>1</v>
      </c>
      <c r="AE251">
        <v>0.17180131922216341</v>
      </c>
      <c r="AF251">
        <v>1.380503741031845E-2</v>
      </c>
      <c r="AG251">
        <v>8.0354664753572607</v>
      </c>
      <c r="AH251" t="b">
        <v>1</v>
      </c>
      <c r="AJ251">
        <v>1</v>
      </c>
      <c r="AK251" t="s">
        <v>335</v>
      </c>
    </row>
    <row r="252" spans="1:37" x14ac:dyDescent="0.2">
      <c r="A252" s="5">
        <v>302</v>
      </c>
      <c r="B252">
        <v>20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0</v>
      </c>
      <c r="AA252">
        <v>0</v>
      </c>
      <c r="AB252">
        <v>1</v>
      </c>
      <c r="AC252">
        <v>1</v>
      </c>
      <c r="AD252">
        <v>1</v>
      </c>
      <c r="AE252">
        <v>0.69145664497104142</v>
      </c>
      <c r="AF252">
        <v>2.7814237008842599E-2</v>
      </c>
      <c r="AG252">
        <v>4.0225569037676214</v>
      </c>
      <c r="AH252" t="b">
        <v>1</v>
      </c>
      <c r="AJ252">
        <v>1</v>
      </c>
      <c r="AK252" t="s">
        <v>336</v>
      </c>
    </row>
    <row r="253" spans="1:37" x14ac:dyDescent="0.2">
      <c r="A253" s="5">
        <v>303</v>
      </c>
      <c r="B253">
        <v>21</v>
      </c>
      <c r="C253">
        <v>0</v>
      </c>
      <c r="D253">
        <v>0</v>
      </c>
      <c r="E253">
        <v>0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0</v>
      </c>
      <c r="L253">
        <v>0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0</v>
      </c>
      <c r="AA253">
        <v>0</v>
      </c>
      <c r="AB253">
        <v>1</v>
      </c>
      <c r="AC253">
        <v>1</v>
      </c>
      <c r="AD253">
        <v>1</v>
      </c>
      <c r="AE253">
        <v>0.76205001072318856</v>
      </c>
      <c r="AF253">
        <v>1.673274890556356E-2</v>
      </c>
      <c r="AG253">
        <v>2.1957546972126032</v>
      </c>
      <c r="AH253" t="b">
        <v>1</v>
      </c>
      <c r="AJ253">
        <v>1</v>
      </c>
      <c r="AK253" t="s">
        <v>337</v>
      </c>
    </row>
    <row r="254" spans="1:37" x14ac:dyDescent="0.2">
      <c r="A254" s="5">
        <v>304</v>
      </c>
      <c r="B254">
        <v>22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0</v>
      </c>
      <c r="AB254">
        <v>1</v>
      </c>
      <c r="AC254">
        <v>1</v>
      </c>
      <c r="AD254">
        <v>1</v>
      </c>
      <c r="AE254">
        <v>0.71226230429648552</v>
      </c>
      <c r="AF254">
        <v>1.8364956486012898E-2</v>
      </c>
      <c r="AG254">
        <v>2.5783979266110819</v>
      </c>
      <c r="AH254" t="b">
        <v>1</v>
      </c>
      <c r="AJ254">
        <v>1</v>
      </c>
      <c r="AK254" t="s">
        <v>338</v>
      </c>
    </row>
    <row r="255" spans="1:37" x14ac:dyDescent="0.2">
      <c r="A255" s="5">
        <v>305</v>
      </c>
      <c r="B255">
        <v>23</v>
      </c>
      <c r="C255">
        <v>0</v>
      </c>
      <c r="D255">
        <v>0</v>
      </c>
      <c r="E255">
        <v>0</v>
      </c>
      <c r="F255">
        <v>1</v>
      </c>
      <c r="G255">
        <v>0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0</v>
      </c>
      <c r="P255">
        <v>0</v>
      </c>
      <c r="Q255">
        <v>0</v>
      </c>
      <c r="R255">
        <v>1</v>
      </c>
      <c r="S255">
        <v>1</v>
      </c>
      <c r="T255">
        <v>0</v>
      </c>
      <c r="U255">
        <v>1</v>
      </c>
      <c r="V255">
        <v>1</v>
      </c>
      <c r="W255">
        <v>1</v>
      </c>
      <c r="X255">
        <v>1</v>
      </c>
      <c r="Y255">
        <v>0</v>
      </c>
      <c r="Z255">
        <v>0</v>
      </c>
      <c r="AA255">
        <v>0</v>
      </c>
      <c r="AB255">
        <v>1</v>
      </c>
      <c r="AC255">
        <v>1</v>
      </c>
      <c r="AD255">
        <v>1</v>
      </c>
      <c r="AE255">
        <v>0.19622108314961689</v>
      </c>
      <c r="AF255">
        <v>3.616756545709547E-3</v>
      </c>
      <c r="AG255">
        <v>1.843204862421334</v>
      </c>
      <c r="AH255" t="b">
        <v>1</v>
      </c>
      <c r="AJ255">
        <v>1</v>
      </c>
      <c r="AK255" t="s">
        <v>339</v>
      </c>
    </row>
    <row r="256" spans="1:37" x14ac:dyDescent="0.2">
      <c r="A256" s="5">
        <v>307</v>
      </c>
      <c r="B256">
        <v>27</v>
      </c>
      <c r="C256">
        <v>0</v>
      </c>
      <c r="D256">
        <v>0</v>
      </c>
      <c r="E256">
        <v>0</v>
      </c>
      <c r="F256">
        <v>1</v>
      </c>
      <c r="G256">
        <v>1</v>
      </c>
      <c r="H256">
        <v>1</v>
      </c>
      <c r="I256">
        <v>1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1</v>
      </c>
      <c r="P256">
        <v>1</v>
      </c>
      <c r="Q256">
        <v>1</v>
      </c>
      <c r="R256">
        <v>0</v>
      </c>
      <c r="S256">
        <v>0</v>
      </c>
      <c r="T256">
        <v>1</v>
      </c>
      <c r="U256">
        <v>1</v>
      </c>
      <c r="V256">
        <v>1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1</v>
      </c>
      <c r="AC256">
        <v>1</v>
      </c>
      <c r="AD256">
        <v>1</v>
      </c>
      <c r="AE256">
        <v>0.41984825177542912</v>
      </c>
      <c r="AF256">
        <v>3.5082964863473211E-3</v>
      </c>
      <c r="AG256">
        <v>0.83561059776041635</v>
      </c>
      <c r="AH256" t="b">
        <v>1</v>
      </c>
      <c r="AJ256">
        <v>1</v>
      </c>
      <c r="AK256" t="s">
        <v>340</v>
      </c>
    </row>
    <row r="257" spans="1:37" x14ac:dyDescent="0.2">
      <c r="A257" s="5">
        <v>308</v>
      </c>
      <c r="B257">
        <v>29</v>
      </c>
      <c r="C257">
        <v>0</v>
      </c>
      <c r="D257">
        <v>0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1</v>
      </c>
      <c r="L257">
        <v>1</v>
      </c>
      <c r="M257">
        <v>1</v>
      </c>
      <c r="N257">
        <v>0</v>
      </c>
      <c r="O257">
        <v>1</v>
      </c>
      <c r="P257">
        <v>1</v>
      </c>
      <c r="Q257">
        <v>1</v>
      </c>
      <c r="R257">
        <v>0</v>
      </c>
      <c r="S257">
        <v>0</v>
      </c>
      <c r="T257">
        <v>1</v>
      </c>
      <c r="U257">
        <v>1</v>
      </c>
      <c r="V257">
        <v>1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1</v>
      </c>
      <c r="AC257">
        <v>1</v>
      </c>
      <c r="AD257">
        <v>1</v>
      </c>
      <c r="AE257">
        <v>0.40266273861100338</v>
      </c>
      <c r="AF257">
        <v>2.1756858074113549E-2</v>
      </c>
      <c r="AG257">
        <v>5.4032459395583636</v>
      </c>
      <c r="AH257" t="b">
        <v>1</v>
      </c>
      <c r="AJ257">
        <v>1</v>
      </c>
      <c r="AK257" t="s">
        <v>341</v>
      </c>
    </row>
    <row r="258" spans="1:37" x14ac:dyDescent="0.2">
      <c r="A258" s="5">
        <v>309</v>
      </c>
      <c r="B258">
        <v>12</v>
      </c>
      <c r="C258">
        <v>0</v>
      </c>
      <c r="D258">
        <v>0</v>
      </c>
      <c r="E258">
        <v>0</v>
      </c>
      <c r="F258">
        <v>1</v>
      </c>
      <c r="G258">
        <v>1</v>
      </c>
      <c r="H258">
        <v>1</v>
      </c>
      <c r="I258">
        <v>1</v>
      </c>
      <c r="J258">
        <v>0</v>
      </c>
      <c r="K258">
        <v>1</v>
      </c>
      <c r="L258">
        <v>1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1</v>
      </c>
      <c r="V258">
        <v>1</v>
      </c>
      <c r="W258">
        <v>0</v>
      </c>
      <c r="X258">
        <v>0</v>
      </c>
      <c r="Y258">
        <v>0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0.20786819242448551</v>
      </c>
      <c r="AF258">
        <v>1.313104471388063E-2</v>
      </c>
      <c r="AG258">
        <v>6.3170052910576411</v>
      </c>
      <c r="AH258" t="b">
        <v>1</v>
      </c>
      <c r="AJ258">
        <v>1</v>
      </c>
      <c r="AK258" t="s">
        <v>342</v>
      </c>
    </row>
    <row r="259" spans="1:37" x14ac:dyDescent="0.2">
      <c r="A259" s="5">
        <v>310</v>
      </c>
      <c r="B259">
        <v>13</v>
      </c>
      <c r="C259">
        <v>0</v>
      </c>
      <c r="D259">
        <v>0</v>
      </c>
      <c r="E259">
        <v>0</v>
      </c>
      <c r="F259">
        <v>1</v>
      </c>
      <c r="G259">
        <v>1</v>
      </c>
      <c r="H259">
        <v>1</v>
      </c>
      <c r="I259">
        <v>1</v>
      </c>
      <c r="J259">
        <v>0</v>
      </c>
      <c r="K259">
        <v>1</v>
      </c>
      <c r="L259">
        <v>1</v>
      </c>
      <c r="M259">
        <v>1</v>
      </c>
      <c r="N259">
        <v>0</v>
      </c>
      <c r="O259">
        <v>1</v>
      </c>
      <c r="P259">
        <v>1</v>
      </c>
      <c r="Q259">
        <v>0</v>
      </c>
      <c r="R259">
        <v>0</v>
      </c>
      <c r="S259">
        <v>0</v>
      </c>
      <c r="T259">
        <v>1</v>
      </c>
      <c r="U259">
        <v>1</v>
      </c>
      <c r="V259">
        <v>1</v>
      </c>
      <c r="W259">
        <v>0</v>
      </c>
      <c r="X259">
        <v>0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0.42919323539179388</v>
      </c>
      <c r="AF259">
        <v>2.0954857652002341E-2</v>
      </c>
      <c r="AG259">
        <v>4.8823830209890113</v>
      </c>
      <c r="AH259" t="b">
        <v>1</v>
      </c>
      <c r="AJ259">
        <v>1</v>
      </c>
      <c r="AK259" t="s">
        <v>343</v>
      </c>
    </row>
    <row r="260" spans="1:37" x14ac:dyDescent="0.2">
      <c r="A260" s="5">
        <v>311</v>
      </c>
      <c r="B260">
        <v>14</v>
      </c>
      <c r="C260">
        <v>0</v>
      </c>
      <c r="D260">
        <v>0</v>
      </c>
      <c r="E260">
        <v>0</v>
      </c>
      <c r="F260">
        <v>1</v>
      </c>
      <c r="G260">
        <v>1</v>
      </c>
      <c r="H260">
        <v>1</v>
      </c>
      <c r="I260">
        <v>1</v>
      </c>
      <c r="J260">
        <v>0</v>
      </c>
      <c r="K260">
        <v>1</v>
      </c>
      <c r="L260">
        <v>1</v>
      </c>
      <c r="M260">
        <v>1</v>
      </c>
      <c r="N260">
        <v>0</v>
      </c>
      <c r="O260">
        <v>1</v>
      </c>
      <c r="P260">
        <v>1</v>
      </c>
      <c r="Q260">
        <v>1</v>
      </c>
      <c r="R260">
        <v>0</v>
      </c>
      <c r="S260">
        <v>0</v>
      </c>
      <c r="T260">
        <v>1</v>
      </c>
      <c r="U260">
        <v>1</v>
      </c>
      <c r="V260">
        <v>1</v>
      </c>
      <c r="W260">
        <v>0</v>
      </c>
      <c r="X260">
        <v>0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0.49347407392068898</v>
      </c>
      <c r="AF260">
        <v>1.521925594576529E-2</v>
      </c>
      <c r="AG260">
        <v>3.084104464667647</v>
      </c>
      <c r="AH260" t="b">
        <v>1</v>
      </c>
      <c r="AJ260">
        <v>2</v>
      </c>
      <c r="AK260" s="6" t="s">
        <v>344</v>
      </c>
    </row>
    <row r="261" spans="1:37" x14ac:dyDescent="0.2">
      <c r="A261" s="5">
        <v>312</v>
      </c>
      <c r="B261">
        <v>15</v>
      </c>
      <c r="C261">
        <v>0</v>
      </c>
      <c r="D261">
        <v>0</v>
      </c>
      <c r="E261">
        <v>0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0</v>
      </c>
      <c r="O261">
        <v>1</v>
      </c>
      <c r="P261">
        <v>1</v>
      </c>
      <c r="Q261">
        <v>1</v>
      </c>
      <c r="R261">
        <v>1</v>
      </c>
      <c r="S261">
        <v>0</v>
      </c>
      <c r="T261">
        <v>1</v>
      </c>
      <c r="U261">
        <v>1</v>
      </c>
      <c r="V261">
        <v>1</v>
      </c>
      <c r="W261">
        <v>0</v>
      </c>
      <c r="X261">
        <v>0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0.62686091912652586</v>
      </c>
      <c r="AF261">
        <v>2.804833040549526E-3</v>
      </c>
      <c r="AG261">
        <v>0.4474410439332871</v>
      </c>
      <c r="AH261" t="b">
        <v>1</v>
      </c>
      <c r="AJ261">
        <v>1</v>
      </c>
      <c r="AK261" t="s">
        <v>345</v>
      </c>
    </row>
    <row r="262" spans="1:37" x14ac:dyDescent="0.2">
      <c r="A262" s="5">
        <v>313</v>
      </c>
      <c r="B262">
        <v>16</v>
      </c>
      <c r="C262">
        <v>0</v>
      </c>
      <c r="D262">
        <v>0</v>
      </c>
      <c r="E262">
        <v>0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0</v>
      </c>
      <c r="T262">
        <v>1</v>
      </c>
      <c r="U262">
        <v>1</v>
      </c>
      <c r="V262">
        <v>1</v>
      </c>
      <c r="W262">
        <v>0</v>
      </c>
      <c r="X262">
        <v>0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0.65714837569503282</v>
      </c>
      <c r="AF262">
        <v>1.9011686932792531E-2</v>
      </c>
      <c r="AG262">
        <v>2.8930584988032311</v>
      </c>
      <c r="AH262" t="b">
        <v>1</v>
      </c>
      <c r="AJ262">
        <v>1</v>
      </c>
      <c r="AK262" t="s">
        <v>346</v>
      </c>
    </row>
    <row r="263" spans="1:37" x14ac:dyDescent="0.2">
      <c r="A263" s="5">
        <v>315</v>
      </c>
      <c r="B263">
        <v>19</v>
      </c>
      <c r="C263">
        <v>0</v>
      </c>
      <c r="D263">
        <v>0</v>
      </c>
      <c r="E263">
        <v>0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0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</v>
      </c>
      <c r="V263">
        <v>0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0.1670206821999288</v>
      </c>
      <c r="AF263">
        <v>1.400625161751482E-2</v>
      </c>
      <c r="AG263">
        <v>8.3859384556631813</v>
      </c>
      <c r="AH263" t="b">
        <v>1</v>
      </c>
      <c r="AJ263">
        <v>1</v>
      </c>
      <c r="AK263" t="s">
        <v>348</v>
      </c>
    </row>
    <row r="264" spans="1:37" x14ac:dyDescent="0.2">
      <c r="A264" s="5">
        <v>316</v>
      </c>
      <c r="B264">
        <v>20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0.74740788428599125</v>
      </c>
      <c r="AF264">
        <v>3.2692385847942502E-3</v>
      </c>
      <c r="AG264">
        <v>0.43741023523151579</v>
      </c>
      <c r="AH264" t="b">
        <v>1</v>
      </c>
      <c r="AJ264">
        <v>1</v>
      </c>
      <c r="AK264" t="s">
        <v>349</v>
      </c>
    </row>
    <row r="265" spans="1:37" x14ac:dyDescent="0.2">
      <c r="A265" s="5">
        <v>317</v>
      </c>
      <c r="B265">
        <v>21</v>
      </c>
      <c r="C265">
        <v>0</v>
      </c>
      <c r="D265">
        <v>0</v>
      </c>
      <c r="E265">
        <v>0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0</v>
      </c>
      <c r="L265">
        <v>0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0.67527920298395439</v>
      </c>
      <c r="AF265">
        <v>1.4008520091643909E-2</v>
      </c>
      <c r="AG265">
        <v>2.0744782350385478</v>
      </c>
      <c r="AH265" t="b">
        <v>1</v>
      </c>
      <c r="AJ265">
        <v>1</v>
      </c>
      <c r="AK265" t="s">
        <v>350</v>
      </c>
    </row>
    <row r="266" spans="1:37" x14ac:dyDescent="0.2">
      <c r="A266" s="5">
        <v>318</v>
      </c>
      <c r="B266">
        <v>22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0.58709926990594508</v>
      </c>
      <c r="AF266">
        <v>2.8869069467000959E-2</v>
      </c>
      <c r="AG266">
        <v>4.9172381821605509</v>
      </c>
      <c r="AH266" t="b">
        <v>1</v>
      </c>
      <c r="AJ266">
        <v>1</v>
      </c>
      <c r="AK266" t="s">
        <v>351</v>
      </c>
    </row>
    <row r="267" spans="1:37" x14ac:dyDescent="0.2">
      <c r="A267" s="5">
        <v>320</v>
      </c>
      <c r="B267">
        <v>25</v>
      </c>
      <c r="C267">
        <v>0</v>
      </c>
      <c r="D267">
        <v>0</v>
      </c>
      <c r="E267">
        <v>0</v>
      </c>
      <c r="F267">
        <v>1</v>
      </c>
      <c r="G267">
        <v>1</v>
      </c>
      <c r="H267">
        <v>1</v>
      </c>
      <c r="I267">
        <v>1</v>
      </c>
      <c r="J267">
        <v>0</v>
      </c>
      <c r="K267">
        <v>1</v>
      </c>
      <c r="L267">
        <v>1</v>
      </c>
      <c r="M267">
        <v>0</v>
      </c>
      <c r="N267">
        <v>0</v>
      </c>
      <c r="O267">
        <v>1</v>
      </c>
      <c r="P267">
        <v>1</v>
      </c>
      <c r="Q267">
        <v>1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0.16440567203609069</v>
      </c>
      <c r="AF267">
        <v>3.4522846019748011E-3</v>
      </c>
      <c r="AG267">
        <v>2.0998573584595959</v>
      </c>
      <c r="AH267" t="b">
        <v>1</v>
      </c>
      <c r="AJ267">
        <v>1</v>
      </c>
      <c r="AK267" t="s">
        <v>352</v>
      </c>
    </row>
    <row r="268" spans="1:37" x14ac:dyDescent="0.2">
      <c r="A268" s="5">
        <v>321</v>
      </c>
      <c r="B268">
        <v>26</v>
      </c>
      <c r="C268">
        <v>0</v>
      </c>
      <c r="D268">
        <v>0</v>
      </c>
      <c r="E268">
        <v>0</v>
      </c>
      <c r="F268">
        <v>1</v>
      </c>
      <c r="G268">
        <v>0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1</v>
      </c>
      <c r="S268">
        <v>1</v>
      </c>
      <c r="T268">
        <v>0</v>
      </c>
      <c r="U268">
        <v>0</v>
      </c>
      <c r="V268">
        <v>0</v>
      </c>
      <c r="W268">
        <v>1</v>
      </c>
      <c r="X268">
        <v>1</v>
      </c>
      <c r="Y268">
        <v>0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0.34776726625166787</v>
      </c>
      <c r="AF268">
        <v>3.8374144128932218E-2</v>
      </c>
      <c r="AG268">
        <v>11.03443246471682</v>
      </c>
      <c r="AH268" t="b">
        <v>1</v>
      </c>
      <c r="AJ268">
        <v>1</v>
      </c>
      <c r="AK268" t="s">
        <v>353</v>
      </c>
    </row>
    <row r="269" spans="1:37" x14ac:dyDescent="0.2">
      <c r="A269" s="5">
        <v>322</v>
      </c>
      <c r="B269">
        <v>27</v>
      </c>
      <c r="C269">
        <v>0</v>
      </c>
      <c r="D269">
        <v>0</v>
      </c>
      <c r="E269">
        <v>0</v>
      </c>
      <c r="F269">
        <v>1</v>
      </c>
      <c r="G269">
        <v>1</v>
      </c>
      <c r="H269">
        <v>1</v>
      </c>
      <c r="I269">
        <v>1</v>
      </c>
      <c r="J269">
        <v>0</v>
      </c>
      <c r="K269">
        <v>0</v>
      </c>
      <c r="L269">
        <v>0</v>
      </c>
      <c r="M269">
        <v>1</v>
      </c>
      <c r="N269">
        <v>0</v>
      </c>
      <c r="O269">
        <v>1</v>
      </c>
      <c r="P269">
        <v>1</v>
      </c>
      <c r="Q269">
        <v>1</v>
      </c>
      <c r="R269">
        <v>0</v>
      </c>
      <c r="S269">
        <v>0</v>
      </c>
      <c r="T269">
        <v>1</v>
      </c>
      <c r="U269">
        <v>1</v>
      </c>
      <c r="V269">
        <v>1</v>
      </c>
      <c r="W269">
        <v>0</v>
      </c>
      <c r="X269">
        <v>0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0.34231517561598018</v>
      </c>
      <c r="AF269">
        <v>3.6814286787609743E-2</v>
      </c>
      <c r="AG269">
        <v>10.754500358146309</v>
      </c>
      <c r="AH269" t="b">
        <v>1</v>
      </c>
      <c r="AJ269">
        <v>1</v>
      </c>
      <c r="AK269" t="s">
        <v>354</v>
      </c>
    </row>
    <row r="270" spans="1:37" x14ac:dyDescent="0.2">
      <c r="A270" s="5">
        <v>323</v>
      </c>
      <c r="B270">
        <v>29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1</v>
      </c>
      <c r="L270">
        <v>1</v>
      </c>
      <c r="M270">
        <v>1</v>
      </c>
      <c r="N270">
        <v>0</v>
      </c>
      <c r="O270">
        <v>1</v>
      </c>
      <c r="P270">
        <v>1</v>
      </c>
      <c r="Q270">
        <v>1</v>
      </c>
      <c r="R270">
        <v>0</v>
      </c>
      <c r="S270">
        <v>0</v>
      </c>
      <c r="T270">
        <v>1</v>
      </c>
      <c r="U270">
        <v>1</v>
      </c>
      <c r="V270">
        <v>1</v>
      </c>
      <c r="W270">
        <v>0</v>
      </c>
      <c r="X270">
        <v>0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0.52889411249703611</v>
      </c>
      <c r="AF270">
        <v>3.1846371835477387E-2</v>
      </c>
      <c r="AG270">
        <v>6.0213133561126284</v>
      </c>
      <c r="AH270" t="b">
        <v>1</v>
      </c>
      <c r="AJ270">
        <v>1</v>
      </c>
      <c r="AK270" t="s">
        <v>355</v>
      </c>
    </row>
    <row r="271" spans="1:37" x14ac:dyDescent="0.2">
      <c r="A271" s="5">
        <v>324</v>
      </c>
      <c r="B271">
        <v>2</v>
      </c>
      <c r="C271">
        <v>0</v>
      </c>
      <c r="D271">
        <v>0</v>
      </c>
      <c r="E271">
        <v>0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0.78223662920016324</v>
      </c>
      <c r="AF271">
        <v>9.3034962368885987E-3</v>
      </c>
      <c r="AG271">
        <v>1.1893455112683</v>
      </c>
      <c r="AH271" t="b">
        <v>1</v>
      </c>
      <c r="AJ271">
        <v>2</v>
      </c>
      <c r="AK271" s="6" t="s">
        <v>347</v>
      </c>
    </row>
    <row r="272" spans="1:37" x14ac:dyDescent="0.2">
      <c r="A272" s="5">
        <v>329</v>
      </c>
      <c r="B272">
        <v>19</v>
      </c>
      <c r="C272">
        <v>0</v>
      </c>
      <c r="D272">
        <v>0</v>
      </c>
      <c r="E272">
        <v>0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0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0.27311003195332723</v>
      </c>
      <c r="AF272">
        <v>1.42262375708025E-2</v>
      </c>
      <c r="AG272">
        <v>5.208976568547901</v>
      </c>
      <c r="AH272" t="b">
        <v>1</v>
      </c>
      <c r="AJ272">
        <v>1</v>
      </c>
      <c r="AK272" t="s">
        <v>356</v>
      </c>
    </row>
    <row r="273" spans="1:37" x14ac:dyDescent="0.2">
      <c r="A273" s="5">
        <v>330</v>
      </c>
      <c r="B273" t="s">
        <v>40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0</v>
      </c>
      <c r="T273">
        <v>1</v>
      </c>
      <c r="U273">
        <v>1</v>
      </c>
      <c r="V273">
        <v>1</v>
      </c>
      <c r="W273">
        <v>0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0.63415557421889723</v>
      </c>
      <c r="AF273">
        <v>4.4098474870327309E-2</v>
      </c>
      <c r="AG273">
        <v>6.9538890239424811</v>
      </c>
      <c r="AH273" t="b">
        <v>1</v>
      </c>
      <c r="AJ273">
        <v>1</v>
      </c>
      <c r="AK273" t="s">
        <v>357</v>
      </c>
    </row>
    <row r="274" spans="1:37" x14ac:dyDescent="0.2">
      <c r="A274" s="5">
        <v>335</v>
      </c>
      <c r="B274" t="s">
        <v>54</v>
      </c>
      <c r="C274">
        <v>0</v>
      </c>
      <c r="D274">
        <v>0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1</v>
      </c>
      <c r="N274">
        <v>0</v>
      </c>
      <c r="O274">
        <v>1</v>
      </c>
      <c r="P274">
        <v>1</v>
      </c>
      <c r="Q274">
        <v>0</v>
      </c>
      <c r="R274">
        <v>1</v>
      </c>
      <c r="S274">
        <v>0</v>
      </c>
      <c r="T274">
        <v>1</v>
      </c>
      <c r="U274">
        <v>1</v>
      </c>
      <c r="V274">
        <v>1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0.62437432797528725</v>
      </c>
      <c r="AF274">
        <v>1.8611389843146049E-2</v>
      </c>
      <c r="AG274">
        <v>2.9808063863706269</v>
      </c>
      <c r="AH274" t="b">
        <v>1</v>
      </c>
      <c r="AJ274">
        <v>1</v>
      </c>
      <c r="AK274" t="s">
        <v>358</v>
      </c>
    </row>
    <row r="275" spans="1:37" x14ac:dyDescent="0.2">
      <c r="A275" s="5">
        <v>338</v>
      </c>
      <c r="B275" t="s">
        <v>59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0</v>
      </c>
      <c r="P275">
        <v>0</v>
      </c>
      <c r="Q275">
        <v>1</v>
      </c>
      <c r="R275">
        <v>1</v>
      </c>
      <c r="S275">
        <v>1</v>
      </c>
      <c r="T275">
        <v>0</v>
      </c>
      <c r="U275">
        <v>1</v>
      </c>
      <c r="V275">
        <v>1</v>
      </c>
      <c r="W275">
        <v>1</v>
      </c>
      <c r="X275">
        <v>1</v>
      </c>
      <c r="Y275">
        <v>0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0.24079649550767129</v>
      </c>
      <c r="AF275">
        <v>1.752340028688552E-2</v>
      </c>
      <c r="AG275">
        <v>7.2772654975484308</v>
      </c>
      <c r="AH275" t="b">
        <v>1</v>
      </c>
      <c r="AJ275">
        <v>1</v>
      </c>
      <c r="AK275" t="s">
        <v>359</v>
      </c>
    </row>
    <row r="276" spans="1:37" x14ac:dyDescent="0.2">
      <c r="A276" s="5">
        <v>339</v>
      </c>
      <c r="B276" t="s">
        <v>64</v>
      </c>
      <c r="C276">
        <v>0</v>
      </c>
      <c r="D276">
        <v>0</v>
      </c>
      <c r="E276">
        <v>0</v>
      </c>
      <c r="F276">
        <v>1</v>
      </c>
      <c r="G276">
        <v>0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0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0.48956498819966932</v>
      </c>
      <c r="AF276">
        <v>3.2320943971148812E-2</v>
      </c>
      <c r="AG276">
        <v>6.6019721079332374</v>
      </c>
      <c r="AH276" t="b">
        <v>1</v>
      </c>
      <c r="AJ276">
        <v>1</v>
      </c>
      <c r="AK276" t="s">
        <v>360</v>
      </c>
    </row>
    <row r="277" spans="1:37" x14ac:dyDescent="0.2">
      <c r="A277" s="5">
        <v>340</v>
      </c>
      <c r="B277" t="s">
        <v>65</v>
      </c>
      <c r="C277">
        <v>0</v>
      </c>
      <c r="D277">
        <v>0</v>
      </c>
      <c r="E277">
        <v>0</v>
      </c>
      <c r="F277">
        <v>1</v>
      </c>
      <c r="G277">
        <v>0</v>
      </c>
      <c r="H277">
        <v>1</v>
      </c>
      <c r="I277">
        <v>1</v>
      </c>
      <c r="J277">
        <v>0</v>
      </c>
      <c r="K277">
        <v>1</v>
      </c>
      <c r="L277">
        <v>1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8.4458622385350957E-2</v>
      </c>
      <c r="AF277">
        <v>5.1345086589084481E-3</v>
      </c>
      <c r="AG277">
        <v>6.0793185040145881</v>
      </c>
      <c r="AH277" t="b">
        <v>1</v>
      </c>
      <c r="AJ277">
        <v>1</v>
      </c>
      <c r="AK277" t="s">
        <v>361</v>
      </c>
    </row>
    <row r="278" spans="1:37" x14ac:dyDescent="0.2">
      <c r="A278" s="5">
        <v>341</v>
      </c>
      <c r="B278" t="s">
        <v>66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1</v>
      </c>
      <c r="L278">
        <v>1</v>
      </c>
      <c r="M278">
        <v>1</v>
      </c>
      <c r="N278">
        <v>0</v>
      </c>
      <c r="O278">
        <v>1</v>
      </c>
      <c r="P278">
        <v>1</v>
      </c>
      <c r="Q278">
        <v>0</v>
      </c>
      <c r="R278">
        <v>0</v>
      </c>
      <c r="S278">
        <v>0</v>
      </c>
      <c r="T278">
        <v>1</v>
      </c>
      <c r="U278">
        <v>1</v>
      </c>
      <c r="V278">
        <v>1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0.64234369335159602</v>
      </c>
      <c r="AF278">
        <v>6.6835276886838241E-2</v>
      </c>
      <c r="AG278">
        <v>10.404909019672591</v>
      </c>
      <c r="AH278" t="b">
        <v>1</v>
      </c>
      <c r="AJ278">
        <v>1</v>
      </c>
      <c r="AK278" t="s">
        <v>362</v>
      </c>
    </row>
    <row r="279" spans="1:37" x14ac:dyDescent="0.2">
      <c r="A279" s="5">
        <v>342</v>
      </c>
      <c r="B279" t="s">
        <v>67</v>
      </c>
      <c r="C279">
        <v>0</v>
      </c>
      <c r="D279">
        <v>0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1</v>
      </c>
      <c r="L279">
        <v>1</v>
      </c>
      <c r="M279">
        <v>1</v>
      </c>
      <c r="N279">
        <v>0</v>
      </c>
      <c r="O279">
        <v>1</v>
      </c>
      <c r="P279">
        <v>1</v>
      </c>
      <c r="Q279">
        <v>0</v>
      </c>
      <c r="R279">
        <v>0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0.70204597811353231</v>
      </c>
      <c r="AF279">
        <v>4.3776319021094613E-2</v>
      </c>
      <c r="AG279">
        <v>6.2355344786285869</v>
      </c>
      <c r="AH279" t="b">
        <v>1</v>
      </c>
      <c r="AJ279">
        <v>1</v>
      </c>
      <c r="AK279" t="s">
        <v>363</v>
      </c>
    </row>
    <row r="280" spans="1:37" x14ac:dyDescent="0.2">
      <c r="A280" s="5">
        <v>343</v>
      </c>
      <c r="B280" t="s">
        <v>69</v>
      </c>
      <c r="C280">
        <v>0</v>
      </c>
      <c r="D280">
        <v>0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1</v>
      </c>
      <c r="L280">
        <v>1</v>
      </c>
      <c r="M280">
        <v>1</v>
      </c>
      <c r="N280">
        <v>0</v>
      </c>
      <c r="O280">
        <v>1</v>
      </c>
      <c r="P280">
        <v>1</v>
      </c>
      <c r="Q280">
        <v>0</v>
      </c>
      <c r="R280">
        <v>0</v>
      </c>
      <c r="S280">
        <v>0</v>
      </c>
      <c r="T280">
        <v>1</v>
      </c>
      <c r="U280">
        <v>1</v>
      </c>
      <c r="V280">
        <v>1</v>
      </c>
      <c r="W280">
        <v>0</v>
      </c>
      <c r="X280">
        <v>0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0.44535841238372359</v>
      </c>
      <c r="AF280">
        <v>3.564509227167733E-2</v>
      </c>
      <c r="AG280">
        <v>8.0036867566712306</v>
      </c>
      <c r="AH280" t="b">
        <v>1</v>
      </c>
      <c r="AI280" t="s">
        <v>85</v>
      </c>
      <c r="AJ280">
        <v>1</v>
      </c>
      <c r="AK280" t="s">
        <v>364</v>
      </c>
    </row>
    <row r="281" spans="1:37" x14ac:dyDescent="0.2">
      <c r="A281" s="5">
        <v>344</v>
      </c>
      <c r="B281" t="s">
        <v>70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0</v>
      </c>
      <c r="P281">
        <v>0</v>
      </c>
      <c r="Q281">
        <v>1</v>
      </c>
      <c r="R281">
        <v>1</v>
      </c>
      <c r="S281">
        <v>0</v>
      </c>
      <c r="T281">
        <v>0</v>
      </c>
      <c r="U281">
        <v>1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7.4563506311372332E-2</v>
      </c>
      <c r="AF281">
        <v>1.5037073205719309E-3</v>
      </c>
      <c r="AG281">
        <v>2.0166800020006401</v>
      </c>
      <c r="AH281" t="b">
        <v>1</v>
      </c>
      <c r="AJ281">
        <v>1</v>
      </c>
      <c r="AK281" t="s">
        <v>365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0AF4C-1668-AA44-BB6F-87EFC24A4AF8}">
  <dimension ref="A1:Q281"/>
  <sheetViews>
    <sheetView workbookViewId="0">
      <selection activeCell="I56" sqref="I56"/>
    </sheetView>
  </sheetViews>
  <sheetFormatPr baseColWidth="10" defaultRowHeight="15" x14ac:dyDescent="0.2"/>
  <sheetData>
    <row r="1" spans="1:17" x14ac:dyDescent="0.2">
      <c r="A1" s="10"/>
      <c r="B1" s="11" t="s">
        <v>28</v>
      </c>
      <c r="C1" s="11" t="s">
        <v>29</v>
      </c>
      <c r="D1" s="10" t="s">
        <v>367</v>
      </c>
      <c r="E1" s="10" t="s">
        <v>368</v>
      </c>
      <c r="F1" s="10" t="s">
        <v>369</v>
      </c>
      <c r="G1" s="12">
        <f>SUM(G2:G281)</f>
        <v>11</v>
      </c>
      <c r="J1" s="10"/>
      <c r="K1" s="10"/>
      <c r="L1" s="11" t="s">
        <v>28</v>
      </c>
      <c r="M1" s="11" t="s">
        <v>29</v>
      </c>
      <c r="N1" s="10" t="s">
        <v>367</v>
      </c>
      <c r="O1" s="10" t="s">
        <v>368</v>
      </c>
      <c r="P1" s="10" t="s">
        <v>369</v>
      </c>
      <c r="Q1" s="12">
        <f>SUM(Q2:Q281)</f>
        <v>54</v>
      </c>
    </row>
    <row r="2" spans="1:17" x14ac:dyDescent="0.2">
      <c r="B2">
        <v>1.046107859519753</v>
      </c>
      <c r="C2">
        <v>0.13564968058771079</v>
      </c>
      <c r="D2">
        <f>B2-C2</f>
        <v>0.91045817893204228</v>
      </c>
      <c r="E2">
        <f>B2+C2</f>
        <v>1.1817575401074638</v>
      </c>
      <c r="F2">
        <f>D2</f>
        <v>0.91045817893204228</v>
      </c>
      <c r="G2">
        <v>1</v>
      </c>
      <c r="L2">
        <v>0.99257634240671322</v>
      </c>
      <c r="M2">
        <v>9.9051471933741999E-3</v>
      </c>
      <c r="N2">
        <f>L2-M2</f>
        <v>0.98267119521333901</v>
      </c>
      <c r="O2">
        <f>L2+M2</f>
        <v>1.0024814896000873</v>
      </c>
      <c r="P2">
        <f>N2</f>
        <v>0.98267119521333901</v>
      </c>
      <c r="Q2">
        <v>1</v>
      </c>
    </row>
    <row r="3" spans="1:17" x14ac:dyDescent="0.2">
      <c r="B3">
        <v>0.99335714738065184</v>
      </c>
      <c r="C3">
        <v>0.13465811620461449</v>
      </c>
      <c r="D3">
        <f t="shared" ref="D3:D66" si="0">B3-C3</f>
        <v>0.85869903117603741</v>
      </c>
      <c r="E3">
        <f t="shared" ref="E3:E66" si="1">B3+C3</f>
        <v>1.1280152635852663</v>
      </c>
      <c r="F3">
        <f>IF(B3&gt;F2,F2,D3)</f>
        <v>0.91045817893204228</v>
      </c>
      <c r="G3">
        <f>IF(F3=F2,0,1)</f>
        <v>0</v>
      </c>
      <c r="L3">
        <v>0.89931199347118118</v>
      </c>
      <c r="M3">
        <v>6.1023433734117916E-3</v>
      </c>
      <c r="N3">
        <f t="shared" ref="N3:N4" si="2">L3-M3</f>
        <v>0.89320965009776943</v>
      </c>
      <c r="O3">
        <f t="shared" ref="O3:O4" si="3">L3+M3</f>
        <v>0.90541433684459294</v>
      </c>
      <c r="P3">
        <f>IF(L3&gt;P2,P2,N3)</f>
        <v>0.89320965009776943</v>
      </c>
      <c r="Q3">
        <f>IF(P3=P2,0,1)</f>
        <v>1</v>
      </c>
    </row>
    <row r="4" spans="1:17" x14ac:dyDescent="0.2">
      <c r="B4">
        <v>0.82911231565100518</v>
      </c>
      <c r="C4">
        <v>0.1095793548520949</v>
      </c>
      <c r="D4">
        <f t="shared" si="0"/>
        <v>0.71953296079891027</v>
      </c>
      <c r="E4">
        <f t="shared" si="1"/>
        <v>0.9386916705031001</v>
      </c>
      <c r="F4">
        <f>IF(B4&gt;F3,F3,D4)</f>
        <v>0.71953296079891027</v>
      </c>
      <c r="G4">
        <f t="shared" ref="G4:G67" si="4">IF(F4=F3,0,1)</f>
        <v>1</v>
      </c>
      <c r="L4">
        <v>0.89535173110766131</v>
      </c>
      <c r="M4">
        <v>1.996712324977687E-3</v>
      </c>
      <c r="N4">
        <f t="shared" si="2"/>
        <v>0.89335501878268364</v>
      </c>
      <c r="O4">
        <f t="shared" si="3"/>
        <v>0.89734844343263898</v>
      </c>
      <c r="P4">
        <f>IF(L4&gt;P3,P3,N4)</f>
        <v>0.89320965009776943</v>
      </c>
      <c r="Q4">
        <f t="shared" ref="Q4:Q67" si="5">IF(P4=P3,0,1)</f>
        <v>0</v>
      </c>
    </row>
    <row r="5" spans="1:17" x14ac:dyDescent="0.2">
      <c r="B5">
        <v>0.71249366801890412</v>
      </c>
      <c r="C5">
        <v>8.3843310799998863E-2</v>
      </c>
      <c r="D5">
        <f t="shared" si="0"/>
        <v>0.62865035721890528</v>
      </c>
      <c r="E5">
        <f t="shared" si="1"/>
        <v>0.79633697881890297</v>
      </c>
      <c r="F5">
        <f t="shared" ref="F5:F67" si="6">IF(B5&gt;F4,F4,D5)</f>
        <v>0.62865035721890528</v>
      </c>
      <c r="G5">
        <f t="shared" si="4"/>
        <v>1</v>
      </c>
      <c r="L5">
        <v>0.85443366393834763</v>
      </c>
      <c r="M5">
        <v>5.4131337241158546E-3</v>
      </c>
      <c r="N5">
        <f t="shared" ref="N5:N68" si="7">L5-M5</f>
        <v>0.84902053021423174</v>
      </c>
      <c r="O5">
        <f t="shared" ref="O5:O68" si="8">L5+M5</f>
        <v>0.85984679766246352</v>
      </c>
      <c r="P5">
        <f t="shared" ref="P5:P68" si="9">IF(L5&gt;P4,P4,N5)</f>
        <v>0.84902053021423174</v>
      </c>
      <c r="Q5">
        <f t="shared" si="5"/>
        <v>1</v>
      </c>
    </row>
    <row r="6" spans="1:17" x14ac:dyDescent="0.2">
      <c r="B6">
        <v>0.68204956172893105</v>
      </c>
      <c r="C6">
        <v>7.9816260917613055E-2</v>
      </c>
      <c r="D6">
        <f t="shared" si="0"/>
        <v>0.60223330081131798</v>
      </c>
      <c r="E6">
        <f t="shared" si="1"/>
        <v>0.76186582264654412</v>
      </c>
      <c r="F6">
        <f>IF(B6&gt;F5,F5,D6)</f>
        <v>0.62865035721890528</v>
      </c>
      <c r="G6">
        <f t="shared" si="4"/>
        <v>0</v>
      </c>
      <c r="L6">
        <v>0.84308337506646214</v>
      </c>
      <c r="M6">
        <v>7.5839128856669486E-3</v>
      </c>
      <c r="N6">
        <f t="shared" si="7"/>
        <v>0.83549946218079518</v>
      </c>
      <c r="O6">
        <f t="shared" si="8"/>
        <v>0.85066728795212909</v>
      </c>
      <c r="P6">
        <f t="shared" si="9"/>
        <v>0.83549946218079518</v>
      </c>
      <c r="Q6">
        <f t="shared" si="5"/>
        <v>1</v>
      </c>
    </row>
    <row r="7" spans="1:17" x14ac:dyDescent="0.2">
      <c r="B7">
        <v>0.61553955184225317</v>
      </c>
      <c r="C7">
        <v>7.6625200412675551E-2</v>
      </c>
      <c r="D7">
        <f t="shared" si="0"/>
        <v>0.53891435142957766</v>
      </c>
      <c r="E7">
        <f t="shared" si="1"/>
        <v>0.69216475225492868</v>
      </c>
      <c r="F7">
        <f t="shared" si="6"/>
        <v>0.53891435142957766</v>
      </c>
      <c r="G7">
        <f t="shared" si="4"/>
        <v>1</v>
      </c>
      <c r="L7">
        <v>0.82241875028571443</v>
      </c>
      <c r="M7">
        <v>1.239287752952432E-2</v>
      </c>
      <c r="N7">
        <f t="shared" si="7"/>
        <v>0.81002587275619009</v>
      </c>
      <c r="O7">
        <f t="shared" si="8"/>
        <v>0.83481162781523877</v>
      </c>
      <c r="P7">
        <f t="shared" si="9"/>
        <v>0.81002587275619009</v>
      </c>
      <c r="Q7">
        <f t="shared" si="5"/>
        <v>1</v>
      </c>
    </row>
    <row r="8" spans="1:17" x14ac:dyDescent="0.2">
      <c r="B8">
        <v>0.8090858421189342</v>
      </c>
      <c r="C8">
        <v>7.450924975955997E-2</v>
      </c>
      <c r="D8">
        <f t="shared" si="0"/>
        <v>0.73457659235937423</v>
      </c>
      <c r="E8">
        <f t="shared" si="1"/>
        <v>0.88359509187849417</v>
      </c>
      <c r="F8">
        <f t="shared" si="6"/>
        <v>0.53891435142957766</v>
      </c>
      <c r="G8">
        <f t="shared" si="4"/>
        <v>0</v>
      </c>
      <c r="L8">
        <v>0.81330836884138269</v>
      </c>
      <c r="M8">
        <v>1.023626291855686E-2</v>
      </c>
      <c r="N8">
        <f t="shared" si="7"/>
        <v>0.80307210592282585</v>
      </c>
      <c r="O8">
        <f t="shared" si="8"/>
        <v>0.82354463175993953</v>
      </c>
      <c r="P8">
        <f t="shared" si="9"/>
        <v>0.81002587275619009</v>
      </c>
      <c r="Q8">
        <f t="shared" si="5"/>
        <v>0</v>
      </c>
    </row>
    <row r="9" spans="1:17" x14ac:dyDescent="0.2">
      <c r="B9">
        <v>0.5847029182148149</v>
      </c>
      <c r="C9">
        <v>6.9204995629040172E-2</v>
      </c>
      <c r="D9">
        <f t="shared" si="0"/>
        <v>0.51549792258577476</v>
      </c>
      <c r="E9">
        <f t="shared" si="1"/>
        <v>0.65390791384385505</v>
      </c>
      <c r="F9">
        <f t="shared" si="6"/>
        <v>0.53891435142957766</v>
      </c>
      <c r="G9">
        <f t="shared" si="4"/>
        <v>0</v>
      </c>
      <c r="L9">
        <v>0.81047235421136421</v>
      </c>
      <c r="M9">
        <v>8.8868664621583552E-3</v>
      </c>
      <c r="N9">
        <f t="shared" si="7"/>
        <v>0.8015854877492059</v>
      </c>
      <c r="O9">
        <f t="shared" si="8"/>
        <v>0.81935922067352251</v>
      </c>
      <c r="P9">
        <f t="shared" si="9"/>
        <v>0.81002587275619009</v>
      </c>
      <c r="Q9">
        <f t="shared" si="5"/>
        <v>0</v>
      </c>
    </row>
    <row r="10" spans="1:17" x14ac:dyDescent="0.2">
      <c r="B10">
        <v>0.58677019562368338</v>
      </c>
      <c r="C10">
        <v>6.9017806248203042E-2</v>
      </c>
      <c r="D10">
        <f t="shared" si="0"/>
        <v>0.51775238937548029</v>
      </c>
      <c r="E10">
        <f t="shared" si="1"/>
        <v>0.65578800187188646</v>
      </c>
      <c r="F10">
        <f t="shared" si="6"/>
        <v>0.53891435142957766</v>
      </c>
      <c r="G10">
        <f t="shared" si="4"/>
        <v>0</v>
      </c>
      <c r="L10">
        <v>0.79328377247140092</v>
      </c>
      <c r="M10">
        <v>1.5457630803294761E-2</v>
      </c>
      <c r="N10">
        <f t="shared" si="7"/>
        <v>0.77782614166810615</v>
      </c>
      <c r="O10">
        <f t="shared" si="8"/>
        <v>0.80874140327469568</v>
      </c>
      <c r="P10">
        <f t="shared" si="9"/>
        <v>0.77782614166810615</v>
      </c>
      <c r="Q10">
        <f t="shared" si="5"/>
        <v>1</v>
      </c>
    </row>
    <row r="11" spans="1:17" x14ac:dyDescent="0.2">
      <c r="B11">
        <v>0.71244685290575671</v>
      </c>
      <c r="C11">
        <v>6.8565330153830539E-2</v>
      </c>
      <c r="D11">
        <f t="shared" si="0"/>
        <v>0.64388152275192612</v>
      </c>
      <c r="E11">
        <f t="shared" si="1"/>
        <v>0.78101218305958731</v>
      </c>
      <c r="F11">
        <f t="shared" si="6"/>
        <v>0.53891435142957766</v>
      </c>
      <c r="G11">
        <f t="shared" si="4"/>
        <v>0</v>
      </c>
      <c r="L11">
        <v>0.79235793636783725</v>
      </c>
      <c r="M11">
        <v>8.5253542053357802E-3</v>
      </c>
      <c r="N11">
        <f t="shared" si="7"/>
        <v>0.78383258216250151</v>
      </c>
      <c r="O11">
        <f t="shared" si="8"/>
        <v>0.80088329057317298</v>
      </c>
      <c r="P11">
        <f t="shared" si="9"/>
        <v>0.77782614166810615</v>
      </c>
      <c r="Q11">
        <f t="shared" si="5"/>
        <v>0</v>
      </c>
    </row>
    <row r="12" spans="1:17" x14ac:dyDescent="0.2">
      <c r="B12">
        <v>0.64234369335159602</v>
      </c>
      <c r="C12">
        <v>6.6835276886838241E-2</v>
      </c>
      <c r="D12">
        <f t="shared" si="0"/>
        <v>0.57550841646475781</v>
      </c>
      <c r="E12">
        <f t="shared" si="1"/>
        <v>0.70917897023843424</v>
      </c>
      <c r="F12">
        <f t="shared" si="6"/>
        <v>0.53891435142957766</v>
      </c>
      <c r="G12">
        <f t="shared" si="4"/>
        <v>0</v>
      </c>
      <c r="L12">
        <v>0.79114492981941831</v>
      </c>
      <c r="M12">
        <v>5.8936630547841134E-3</v>
      </c>
      <c r="N12">
        <f t="shared" si="7"/>
        <v>0.78525126676463419</v>
      </c>
      <c r="O12">
        <f t="shared" si="8"/>
        <v>0.79703859287420242</v>
      </c>
      <c r="P12">
        <f t="shared" si="9"/>
        <v>0.77782614166810615</v>
      </c>
      <c r="Q12">
        <f t="shared" si="5"/>
        <v>0</v>
      </c>
    </row>
    <row r="13" spans="1:17" x14ac:dyDescent="0.2">
      <c r="B13">
        <v>0.52338010167428928</v>
      </c>
      <c r="C13">
        <v>6.4933533378179739E-2</v>
      </c>
      <c r="D13">
        <f t="shared" si="0"/>
        <v>0.45844656829610952</v>
      </c>
      <c r="E13">
        <f t="shared" si="1"/>
        <v>0.58831363505246903</v>
      </c>
      <c r="F13">
        <f t="shared" si="6"/>
        <v>0.45844656829610952</v>
      </c>
      <c r="G13">
        <f t="shared" si="4"/>
        <v>1</v>
      </c>
      <c r="L13">
        <v>0.78318014552348014</v>
      </c>
      <c r="M13">
        <v>1.025669759223596E-2</v>
      </c>
      <c r="N13">
        <f t="shared" si="7"/>
        <v>0.77292344793124423</v>
      </c>
      <c r="O13">
        <f t="shared" si="8"/>
        <v>0.79343684311571605</v>
      </c>
      <c r="P13">
        <f t="shared" si="9"/>
        <v>0.77782614166810615</v>
      </c>
      <c r="Q13">
        <f t="shared" si="5"/>
        <v>0</v>
      </c>
    </row>
    <row r="14" spans="1:17" x14ac:dyDescent="0.2">
      <c r="B14">
        <v>0.50523394851192993</v>
      </c>
      <c r="C14">
        <v>6.3001400870721355E-2</v>
      </c>
      <c r="D14">
        <f t="shared" si="0"/>
        <v>0.44223254764120856</v>
      </c>
      <c r="E14">
        <f t="shared" si="1"/>
        <v>0.5682353493826513</v>
      </c>
      <c r="F14">
        <f t="shared" si="6"/>
        <v>0.45844656829610952</v>
      </c>
      <c r="G14">
        <f t="shared" si="4"/>
        <v>0</v>
      </c>
      <c r="L14">
        <v>0.78305831835210871</v>
      </c>
      <c r="M14">
        <v>1.6615342661960391E-2</v>
      </c>
      <c r="N14">
        <f t="shared" si="7"/>
        <v>0.7664429756901483</v>
      </c>
      <c r="O14">
        <f t="shared" si="8"/>
        <v>0.79967366101406911</v>
      </c>
      <c r="P14">
        <f t="shared" si="9"/>
        <v>0.77782614166810615</v>
      </c>
      <c r="Q14">
        <f t="shared" si="5"/>
        <v>0</v>
      </c>
    </row>
    <row r="15" spans="1:17" x14ac:dyDescent="0.2">
      <c r="B15">
        <v>0.81113217303733587</v>
      </c>
      <c r="C15">
        <v>5.9655336236663907E-2</v>
      </c>
      <c r="D15">
        <f t="shared" si="0"/>
        <v>0.75147683680067201</v>
      </c>
      <c r="E15">
        <f t="shared" si="1"/>
        <v>0.87078750927399973</v>
      </c>
      <c r="F15">
        <f t="shared" si="6"/>
        <v>0.45844656829610952</v>
      </c>
      <c r="G15">
        <f t="shared" si="4"/>
        <v>0</v>
      </c>
      <c r="L15">
        <v>0.78223662920016324</v>
      </c>
      <c r="M15">
        <v>9.3034962368885987E-3</v>
      </c>
      <c r="N15">
        <f t="shared" si="7"/>
        <v>0.77293313296327459</v>
      </c>
      <c r="O15">
        <f t="shared" si="8"/>
        <v>0.79154012543705188</v>
      </c>
      <c r="P15">
        <f t="shared" si="9"/>
        <v>0.77782614166810615</v>
      </c>
      <c r="Q15">
        <f t="shared" si="5"/>
        <v>0</v>
      </c>
    </row>
    <row r="16" spans="1:17" x14ac:dyDescent="0.2">
      <c r="B16">
        <v>0.43973677259687582</v>
      </c>
      <c r="C16">
        <v>5.7828349013787042E-2</v>
      </c>
      <c r="D16">
        <f t="shared" si="0"/>
        <v>0.3819084235830888</v>
      </c>
      <c r="E16">
        <f t="shared" si="1"/>
        <v>0.49756512161066285</v>
      </c>
      <c r="F16">
        <f t="shared" si="6"/>
        <v>0.3819084235830888</v>
      </c>
      <c r="G16">
        <f t="shared" si="4"/>
        <v>1</v>
      </c>
      <c r="L16">
        <v>0.77539254520150536</v>
      </c>
      <c r="M16">
        <v>2.356014299132036E-3</v>
      </c>
      <c r="N16">
        <f t="shared" si="7"/>
        <v>0.77303653090237334</v>
      </c>
      <c r="O16">
        <f t="shared" si="8"/>
        <v>0.77774855950063737</v>
      </c>
      <c r="P16">
        <f t="shared" si="9"/>
        <v>0.77303653090237334</v>
      </c>
      <c r="Q16">
        <f t="shared" si="5"/>
        <v>1</v>
      </c>
    </row>
    <row r="17" spans="2:17" x14ac:dyDescent="0.2">
      <c r="B17">
        <v>0.47787272865420638</v>
      </c>
      <c r="C17">
        <v>5.7141767520572082E-2</v>
      </c>
      <c r="D17">
        <f t="shared" si="0"/>
        <v>0.42073096113363428</v>
      </c>
      <c r="E17">
        <f t="shared" si="1"/>
        <v>0.53501449617477848</v>
      </c>
      <c r="F17">
        <f t="shared" si="6"/>
        <v>0.3819084235830888</v>
      </c>
      <c r="G17">
        <f t="shared" si="4"/>
        <v>0</v>
      </c>
      <c r="L17">
        <v>0.76652893619289453</v>
      </c>
      <c r="M17">
        <v>8.3570130085490121E-3</v>
      </c>
      <c r="N17">
        <f t="shared" si="7"/>
        <v>0.75817192318434556</v>
      </c>
      <c r="O17">
        <f t="shared" si="8"/>
        <v>0.77488594920144349</v>
      </c>
      <c r="P17">
        <f t="shared" si="9"/>
        <v>0.75817192318434556</v>
      </c>
      <c r="Q17">
        <f t="shared" si="5"/>
        <v>1</v>
      </c>
    </row>
    <row r="18" spans="2:17" x14ac:dyDescent="0.2">
      <c r="B18">
        <v>0.47794791261416208</v>
      </c>
      <c r="C18">
        <v>5.6408252427047709E-2</v>
      </c>
      <c r="D18">
        <f t="shared" si="0"/>
        <v>0.42153966018711436</v>
      </c>
      <c r="E18">
        <f t="shared" si="1"/>
        <v>0.53435616504120975</v>
      </c>
      <c r="F18">
        <f t="shared" si="6"/>
        <v>0.3819084235830888</v>
      </c>
      <c r="G18">
        <f t="shared" si="4"/>
        <v>0</v>
      </c>
      <c r="L18">
        <v>0.76205001072318856</v>
      </c>
      <c r="M18">
        <v>1.673274890556356E-2</v>
      </c>
      <c r="N18">
        <f t="shared" si="7"/>
        <v>0.74531726181762503</v>
      </c>
      <c r="O18">
        <f t="shared" si="8"/>
        <v>0.7787827596287521</v>
      </c>
      <c r="P18">
        <f t="shared" si="9"/>
        <v>0.75817192318434556</v>
      </c>
      <c r="Q18">
        <f t="shared" si="5"/>
        <v>0</v>
      </c>
    </row>
    <row r="19" spans="2:17" x14ac:dyDescent="0.2">
      <c r="B19">
        <v>0.49444661565086462</v>
      </c>
      <c r="C19">
        <v>5.4006589267368198E-2</v>
      </c>
      <c r="D19">
        <f t="shared" si="0"/>
        <v>0.44044002638349644</v>
      </c>
      <c r="E19">
        <f t="shared" si="1"/>
        <v>0.5484532049182328</v>
      </c>
      <c r="F19">
        <f t="shared" si="6"/>
        <v>0.3819084235830888</v>
      </c>
      <c r="G19">
        <f t="shared" si="4"/>
        <v>0</v>
      </c>
      <c r="L19">
        <v>0.75422542448834473</v>
      </c>
      <c r="M19">
        <v>1.6483084154857709E-2</v>
      </c>
      <c r="N19">
        <f t="shared" si="7"/>
        <v>0.73774234033348707</v>
      </c>
      <c r="O19">
        <f t="shared" si="8"/>
        <v>0.77070850864320239</v>
      </c>
      <c r="P19">
        <f t="shared" si="9"/>
        <v>0.73774234033348707</v>
      </c>
      <c r="Q19">
        <f t="shared" si="5"/>
        <v>1</v>
      </c>
    </row>
    <row r="20" spans="2:17" x14ac:dyDescent="0.2">
      <c r="B20">
        <v>0.53848705119736462</v>
      </c>
      <c r="C20">
        <v>5.201109430586915E-2</v>
      </c>
      <c r="D20">
        <f t="shared" si="0"/>
        <v>0.48647595689149548</v>
      </c>
      <c r="E20">
        <f t="shared" si="1"/>
        <v>0.59049814550323376</v>
      </c>
      <c r="F20">
        <f t="shared" si="6"/>
        <v>0.3819084235830888</v>
      </c>
      <c r="G20">
        <f t="shared" si="4"/>
        <v>0</v>
      </c>
      <c r="L20">
        <v>0.75080428815478173</v>
      </c>
      <c r="M20">
        <v>5.4052229013784444E-3</v>
      </c>
      <c r="N20">
        <f t="shared" si="7"/>
        <v>0.74539906525340327</v>
      </c>
      <c r="O20">
        <f t="shared" si="8"/>
        <v>0.75620951105616019</v>
      </c>
      <c r="P20">
        <f t="shared" si="9"/>
        <v>0.73774234033348707</v>
      </c>
      <c r="Q20">
        <f t="shared" si="5"/>
        <v>0</v>
      </c>
    </row>
    <row r="21" spans="2:17" x14ac:dyDescent="0.2">
      <c r="B21">
        <v>0.41315513305651169</v>
      </c>
      <c r="C21">
        <v>5.0650981064293638E-2</v>
      </c>
      <c r="D21">
        <f t="shared" si="0"/>
        <v>0.36250415199221808</v>
      </c>
      <c r="E21">
        <f t="shared" si="1"/>
        <v>0.4638061141208053</v>
      </c>
      <c r="F21">
        <f t="shared" si="6"/>
        <v>0.3819084235830888</v>
      </c>
      <c r="G21">
        <f t="shared" si="4"/>
        <v>0</v>
      </c>
      <c r="L21">
        <v>0.74740788428599125</v>
      </c>
      <c r="M21">
        <v>3.2692385847942502E-3</v>
      </c>
      <c r="N21">
        <f t="shared" si="7"/>
        <v>0.74413864570119703</v>
      </c>
      <c r="O21">
        <f t="shared" si="8"/>
        <v>0.75067712287078547</v>
      </c>
      <c r="P21">
        <f t="shared" si="9"/>
        <v>0.73774234033348707</v>
      </c>
      <c r="Q21">
        <f t="shared" si="5"/>
        <v>0</v>
      </c>
    </row>
    <row r="22" spans="2:17" x14ac:dyDescent="0.2">
      <c r="B22">
        <v>0.58560751448712522</v>
      </c>
      <c r="C22">
        <v>5.0158482010055343E-2</v>
      </c>
      <c r="D22">
        <f t="shared" si="0"/>
        <v>0.53544903247706988</v>
      </c>
      <c r="E22">
        <f t="shared" si="1"/>
        <v>0.63576599649718057</v>
      </c>
      <c r="F22">
        <f t="shared" si="6"/>
        <v>0.3819084235830888</v>
      </c>
      <c r="G22">
        <f t="shared" si="4"/>
        <v>0</v>
      </c>
      <c r="L22">
        <v>0.74140889376172603</v>
      </c>
      <c r="M22">
        <v>1.2617656079738819E-3</v>
      </c>
      <c r="N22">
        <f t="shared" si="7"/>
        <v>0.74014712815375217</v>
      </c>
      <c r="O22">
        <f t="shared" si="8"/>
        <v>0.74267065936969989</v>
      </c>
      <c r="P22">
        <f t="shared" si="9"/>
        <v>0.73774234033348707</v>
      </c>
      <c r="Q22">
        <f t="shared" si="5"/>
        <v>0</v>
      </c>
    </row>
    <row r="23" spans="2:17" x14ac:dyDescent="0.2">
      <c r="B23">
        <v>0.40220348197744799</v>
      </c>
      <c r="C23">
        <v>4.8721130998298237E-2</v>
      </c>
      <c r="D23">
        <f t="shared" si="0"/>
        <v>0.35348235097914976</v>
      </c>
      <c r="E23">
        <f t="shared" si="1"/>
        <v>0.45092461297574621</v>
      </c>
      <c r="F23">
        <f t="shared" si="6"/>
        <v>0.3819084235830888</v>
      </c>
      <c r="G23">
        <f t="shared" si="4"/>
        <v>0</v>
      </c>
      <c r="L23">
        <v>0.73787608397164428</v>
      </c>
      <c r="M23">
        <v>5.5996708174201491E-3</v>
      </c>
      <c r="N23">
        <f t="shared" si="7"/>
        <v>0.73227641315422409</v>
      </c>
      <c r="O23">
        <f t="shared" si="8"/>
        <v>0.74347575478906447</v>
      </c>
      <c r="P23">
        <f t="shared" si="9"/>
        <v>0.73774234033348707</v>
      </c>
      <c r="Q23">
        <f t="shared" si="5"/>
        <v>0</v>
      </c>
    </row>
    <row r="24" spans="2:17" x14ac:dyDescent="0.2">
      <c r="B24">
        <v>0.47451338209236887</v>
      </c>
      <c r="C24">
        <v>4.7540289840916371E-2</v>
      </c>
      <c r="D24">
        <f t="shared" si="0"/>
        <v>0.42697309225145252</v>
      </c>
      <c r="E24">
        <f t="shared" si="1"/>
        <v>0.52205367193328522</v>
      </c>
      <c r="F24">
        <f t="shared" si="6"/>
        <v>0.3819084235830888</v>
      </c>
      <c r="G24">
        <f t="shared" si="4"/>
        <v>0</v>
      </c>
      <c r="L24">
        <v>0.73468166680242442</v>
      </c>
      <c r="M24">
        <v>1.545054726564961E-2</v>
      </c>
      <c r="N24">
        <f t="shared" si="7"/>
        <v>0.71923111953677477</v>
      </c>
      <c r="O24">
        <f t="shared" si="8"/>
        <v>0.75013221406807407</v>
      </c>
      <c r="P24">
        <f t="shared" si="9"/>
        <v>0.71923111953677477</v>
      </c>
      <c r="Q24">
        <f t="shared" si="5"/>
        <v>1</v>
      </c>
    </row>
    <row r="25" spans="2:17" x14ac:dyDescent="0.2">
      <c r="B25">
        <v>0.50955763247133812</v>
      </c>
      <c r="C25">
        <v>4.74797710305657E-2</v>
      </c>
      <c r="D25">
        <f t="shared" si="0"/>
        <v>0.4620778614407724</v>
      </c>
      <c r="E25">
        <f t="shared" si="1"/>
        <v>0.55703740350190378</v>
      </c>
      <c r="F25">
        <f t="shared" si="6"/>
        <v>0.3819084235830888</v>
      </c>
      <c r="G25">
        <f t="shared" si="4"/>
        <v>0</v>
      </c>
      <c r="L25">
        <v>0.71727603293879927</v>
      </c>
      <c r="M25">
        <v>8.2142811712026149E-3</v>
      </c>
      <c r="N25">
        <f t="shared" si="7"/>
        <v>0.70906175176759667</v>
      </c>
      <c r="O25">
        <f t="shared" si="8"/>
        <v>0.72549031411000187</v>
      </c>
      <c r="P25">
        <f t="shared" si="9"/>
        <v>0.70906175176759667</v>
      </c>
      <c r="Q25">
        <f t="shared" si="5"/>
        <v>1</v>
      </c>
    </row>
    <row r="26" spans="2:17" x14ac:dyDescent="0.2">
      <c r="B26">
        <v>0.36551123272317793</v>
      </c>
      <c r="C26">
        <v>4.7298935409920383E-2</v>
      </c>
      <c r="D26">
        <f t="shared" si="0"/>
        <v>0.31821229731325756</v>
      </c>
      <c r="E26">
        <f t="shared" si="1"/>
        <v>0.41281016813309829</v>
      </c>
      <c r="F26">
        <f t="shared" si="6"/>
        <v>0.31821229731325756</v>
      </c>
      <c r="G26">
        <f t="shared" si="4"/>
        <v>1</v>
      </c>
      <c r="L26">
        <v>0.71449591853721695</v>
      </c>
      <c r="M26">
        <v>9.8694181004846913E-3</v>
      </c>
      <c r="N26">
        <f t="shared" si="7"/>
        <v>0.70462650043673225</v>
      </c>
      <c r="O26">
        <f t="shared" si="8"/>
        <v>0.72436533663770164</v>
      </c>
      <c r="P26">
        <f t="shared" si="9"/>
        <v>0.70906175176759667</v>
      </c>
      <c r="Q26">
        <f t="shared" si="5"/>
        <v>0</v>
      </c>
    </row>
    <row r="27" spans="2:17" x14ac:dyDescent="0.2">
      <c r="B27">
        <v>0.63415557421889723</v>
      </c>
      <c r="C27">
        <v>4.4098474870327309E-2</v>
      </c>
      <c r="D27">
        <f t="shared" si="0"/>
        <v>0.59005709934856987</v>
      </c>
      <c r="E27">
        <f t="shared" si="1"/>
        <v>0.6782540490892246</v>
      </c>
      <c r="F27">
        <f t="shared" si="6"/>
        <v>0.31821229731325756</v>
      </c>
      <c r="G27">
        <f t="shared" si="4"/>
        <v>0</v>
      </c>
      <c r="L27">
        <v>0.71226230429648552</v>
      </c>
      <c r="M27">
        <v>1.8364956486012898E-2</v>
      </c>
      <c r="N27">
        <f t="shared" si="7"/>
        <v>0.69389734781047263</v>
      </c>
      <c r="O27">
        <f t="shared" si="8"/>
        <v>0.7306272607824984</v>
      </c>
      <c r="P27">
        <f t="shared" si="9"/>
        <v>0.70906175176759667</v>
      </c>
      <c r="Q27">
        <f t="shared" si="5"/>
        <v>0</v>
      </c>
    </row>
    <row r="28" spans="2:17" x14ac:dyDescent="0.2">
      <c r="B28">
        <v>0.70204597811353231</v>
      </c>
      <c r="C28">
        <v>4.3776319021094613E-2</v>
      </c>
      <c r="D28">
        <f t="shared" si="0"/>
        <v>0.65826965909243773</v>
      </c>
      <c r="E28">
        <f t="shared" si="1"/>
        <v>0.74582229713462689</v>
      </c>
      <c r="F28">
        <f t="shared" si="6"/>
        <v>0.31821229731325756</v>
      </c>
      <c r="G28">
        <f t="shared" si="4"/>
        <v>0</v>
      </c>
      <c r="L28">
        <v>0.70982063701817666</v>
      </c>
      <c r="M28">
        <v>1.8647182097790319E-2</v>
      </c>
      <c r="N28">
        <f t="shared" si="7"/>
        <v>0.69117345492038629</v>
      </c>
      <c r="O28">
        <f t="shared" si="8"/>
        <v>0.72846781911596703</v>
      </c>
      <c r="P28">
        <f t="shared" si="9"/>
        <v>0.70906175176759667</v>
      </c>
      <c r="Q28">
        <f t="shared" si="5"/>
        <v>0</v>
      </c>
    </row>
    <row r="29" spans="2:17" x14ac:dyDescent="0.2">
      <c r="B29">
        <v>0.50431290507504811</v>
      </c>
      <c r="C29">
        <v>4.2843730899831567E-2</v>
      </c>
      <c r="D29">
        <f t="shared" si="0"/>
        <v>0.46146917417521655</v>
      </c>
      <c r="E29">
        <f t="shared" si="1"/>
        <v>0.54715663597487962</v>
      </c>
      <c r="F29">
        <f t="shared" si="6"/>
        <v>0.31821229731325756</v>
      </c>
      <c r="G29">
        <f t="shared" si="4"/>
        <v>0</v>
      </c>
      <c r="L29">
        <v>0.70517928972271748</v>
      </c>
      <c r="M29">
        <v>1.6749806865949901E-2</v>
      </c>
      <c r="N29">
        <f t="shared" si="7"/>
        <v>0.68842948285676764</v>
      </c>
      <c r="O29">
        <f t="shared" si="8"/>
        <v>0.72192909658866733</v>
      </c>
      <c r="P29">
        <f t="shared" si="9"/>
        <v>0.68842948285676764</v>
      </c>
      <c r="Q29">
        <f t="shared" si="5"/>
        <v>1</v>
      </c>
    </row>
    <row r="30" spans="2:17" x14ac:dyDescent="0.2">
      <c r="B30">
        <v>0.75803102728940353</v>
      </c>
      <c r="C30">
        <v>4.2781325898821332E-2</v>
      </c>
      <c r="D30">
        <f t="shared" si="0"/>
        <v>0.71524970139058219</v>
      </c>
      <c r="E30">
        <f t="shared" si="1"/>
        <v>0.80081235318822486</v>
      </c>
      <c r="F30">
        <f t="shared" si="6"/>
        <v>0.31821229731325756</v>
      </c>
      <c r="G30">
        <f t="shared" si="4"/>
        <v>0</v>
      </c>
      <c r="L30">
        <v>0.70099104932274758</v>
      </c>
      <c r="M30">
        <v>8.3358417933041972E-4</v>
      </c>
      <c r="N30">
        <f t="shared" si="7"/>
        <v>0.70015746514341715</v>
      </c>
      <c r="O30">
        <f t="shared" si="8"/>
        <v>0.70182463350207802</v>
      </c>
      <c r="P30">
        <f t="shared" si="9"/>
        <v>0.68842948285676764</v>
      </c>
      <c r="Q30">
        <f t="shared" si="5"/>
        <v>0</v>
      </c>
    </row>
    <row r="31" spans="2:17" x14ac:dyDescent="0.2">
      <c r="B31">
        <v>0.34776982326478878</v>
      </c>
      <c r="C31">
        <v>4.2484549615113908E-2</v>
      </c>
      <c r="D31">
        <f t="shared" si="0"/>
        <v>0.30528527364967489</v>
      </c>
      <c r="E31">
        <f t="shared" si="1"/>
        <v>0.39025437287990267</v>
      </c>
      <c r="F31">
        <f t="shared" si="6"/>
        <v>0.31821229731325756</v>
      </c>
      <c r="G31">
        <f t="shared" si="4"/>
        <v>0</v>
      </c>
      <c r="L31">
        <v>0.69907952709136456</v>
      </c>
      <c r="M31">
        <v>1.0982166216606699E-2</v>
      </c>
      <c r="N31">
        <f t="shared" si="7"/>
        <v>0.68809736087475781</v>
      </c>
      <c r="O31">
        <f t="shared" si="8"/>
        <v>0.71006169330797131</v>
      </c>
      <c r="P31">
        <f t="shared" si="9"/>
        <v>0.68842948285676764</v>
      </c>
      <c r="Q31">
        <f t="shared" si="5"/>
        <v>0</v>
      </c>
    </row>
    <row r="32" spans="2:17" x14ac:dyDescent="0.2">
      <c r="B32">
        <v>0.2669533307775741</v>
      </c>
      <c r="C32">
        <v>3.9033567499420621E-2</v>
      </c>
      <c r="D32">
        <f t="shared" si="0"/>
        <v>0.2279197632781535</v>
      </c>
      <c r="E32">
        <f t="shared" si="1"/>
        <v>0.30598689827699471</v>
      </c>
      <c r="F32">
        <f t="shared" si="6"/>
        <v>0.2279197632781535</v>
      </c>
      <c r="G32">
        <f t="shared" si="4"/>
        <v>1</v>
      </c>
      <c r="L32">
        <v>0.69596990353526222</v>
      </c>
      <c r="M32">
        <v>1.9891376971380541E-2</v>
      </c>
      <c r="N32">
        <f t="shared" si="7"/>
        <v>0.67607852656388168</v>
      </c>
      <c r="O32">
        <f t="shared" si="8"/>
        <v>0.71586128050664277</v>
      </c>
      <c r="P32">
        <f t="shared" si="9"/>
        <v>0.68842948285676764</v>
      </c>
      <c r="Q32">
        <f t="shared" si="5"/>
        <v>0</v>
      </c>
    </row>
    <row r="33" spans="2:17" x14ac:dyDescent="0.2">
      <c r="B33">
        <v>0.34776726625166787</v>
      </c>
      <c r="C33">
        <v>3.8374144128932218E-2</v>
      </c>
      <c r="D33">
        <f t="shared" si="0"/>
        <v>0.30939312212273568</v>
      </c>
      <c r="E33">
        <f t="shared" si="1"/>
        <v>0.38614141038060007</v>
      </c>
      <c r="F33">
        <f t="shared" si="6"/>
        <v>0.2279197632781535</v>
      </c>
      <c r="G33">
        <f t="shared" si="4"/>
        <v>0</v>
      </c>
      <c r="L33">
        <v>0.69283823321435922</v>
      </c>
      <c r="M33">
        <v>7.7279653570898983E-3</v>
      </c>
      <c r="N33">
        <f t="shared" si="7"/>
        <v>0.68511026785726936</v>
      </c>
      <c r="O33">
        <f t="shared" si="8"/>
        <v>0.70056619857144908</v>
      </c>
      <c r="P33">
        <f t="shared" si="9"/>
        <v>0.68842948285676764</v>
      </c>
      <c r="Q33">
        <f t="shared" si="5"/>
        <v>0</v>
      </c>
    </row>
    <row r="34" spans="2:17" x14ac:dyDescent="0.2">
      <c r="B34">
        <v>0.52796488938131625</v>
      </c>
      <c r="C34">
        <v>3.8137878283688489E-2</v>
      </c>
      <c r="D34">
        <f t="shared" si="0"/>
        <v>0.48982701109762777</v>
      </c>
      <c r="E34">
        <f t="shared" si="1"/>
        <v>0.56610276766500478</v>
      </c>
      <c r="F34">
        <f t="shared" si="6"/>
        <v>0.2279197632781535</v>
      </c>
      <c r="G34">
        <f t="shared" si="4"/>
        <v>0</v>
      </c>
      <c r="L34">
        <v>0.68064016841336938</v>
      </c>
      <c r="M34">
        <v>9.5605703641822148E-3</v>
      </c>
      <c r="N34">
        <f t="shared" si="7"/>
        <v>0.67107959804918715</v>
      </c>
      <c r="O34">
        <f t="shared" si="8"/>
        <v>0.69020073877755161</v>
      </c>
      <c r="P34">
        <f t="shared" si="9"/>
        <v>0.67107959804918715</v>
      </c>
      <c r="Q34">
        <f t="shared" si="5"/>
        <v>1</v>
      </c>
    </row>
    <row r="35" spans="2:17" x14ac:dyDescent="0.2">
      <c r="B35">
        <v>0.47763184616490229</v>
      </c>
      <c r="C35">
        <v>3.7602993437686458E-2</v>
      </c>
      <c r="D35">
        <f t="shared" si="0"/>
        <v>0.44002885272721581</v>
      </c>
      <c r="E35">
        <f t="shared" si="1"/>
        <v>0.51523483960258876</v>
      </c>
      <c r="F35">
        <f t="shared" si="6"/>
        <v>0.2279197632781535</v>
      </c>
      <c r="G35">
        <f t="shared" si="4"/>
        <v>0</v>
      </c>
      <c r="L35">
        <v>0.67856991381526321</v>
      </c>
      <c r="M35">
        <v>1.7024806801462612E-2</v>
      </c>
      <c r="N35">
        <f t="shared" si="7"/>
        <v>0.66154510701380065</v>
      </c>
      <c r="O35">
        <f t="shared" si="8"/>
        <v>0.69559472061672578</v>
      </c>
      <c r="P35">
        <f t="shared" si="9"/>
        <v>0.67107959804918715</v>
      </c>
      <c r="Q35">
        <f t="shared" si="5"/>
        <v>0</v>
      </c>
    </row>
    <row r="36" spans="2:17" x14ac:dyDescent="0.2">
      <c r="B36">
        <v>0.34231517561598018</v>
      </c>
      <c r="C36">
        <v>3.6814286787609743E-2</v>
      </c>
      <c r="D36">
        <f t="shared" si="0"/>
        <v>0.30550088882837045</v>
      </c>
      <c r="E36">
        <f t="shared" si="1"/>
        <v>0.37912946240358991</v>
      </c>
      <c r="F36">
        <f t="shared" si="6"/>
        <v>0.2279197632781535</v>
      </c>
      <c r="G36">
        <f t="shared" si="4"/>
        <v>0</v>
      </c>
      <c r="L36">
        <v>0.67634146914821469</v>
      </c>
      <c r="M36">
        <v>7.4351753328947808E-3</v>
      </c>
      <c r="N36">
        <f t="shared" si="7"/>
        <v>0.66890629381531996</v>
      </c>
      <c r="O36">
        <f t="shared" si="8"/>
        <v>0.68377664448110942</v>
      </c>
      <c r="P36">
        <f t="shared" si="9"/>
        <v>0.67107959804918715</v>
      </c>
      <c r="Q36">
        <f t="shared" si="5"/>
        <v>0</v>
      </c>
    </row>
    <row r="37" spans="2:17" x14ac:dyDescent="0.2">
      <c r="B37">
        <v>0.44535841238372359</v>
      </c>
      <c r="C37">
        <v>3.564509227167733E-2</v>
      </c>
      <c r="D37">
        <f t="shared" si="0"/>
        <v>0.40971332011204625</v>
      </c>
      <c r="E37">
        <f t="shared" si="1"/>
        <v>0.48100350465540093</v>
      </c>
      <c r="F37">
        <f t="shared" si="6"/>
        <v>0.2279197632781535</v>
      </c>
      <c r="G37">
        <f t="shared" si="4"/>
        <v>0</v>
      </c>
      <c r="L37">
        <v>0.67527920298395439</v>
      </c>
      <c r="M37">
        <v>1.4008520091643909E-2</v>
      </c>
      <c r="N37">
        <f t="shared" si="7"/>
        <v>0.6612706828923105</v>
      </c>
      <c r="O37">
        <f t="shared" si="8"/>
        <v>0.68928772307559827</v>
      </c>
      <c r="P37">
        <f t="shared" si="9"/>
        <v>0.67107959804918715</v>
      </c>
      <c r="Q37">
        <f t="shared" si="5"/>
        <v>0</v>
      </c>
    </row>
    <row r="38" spans="2:17" x14ac:dyDescent="0.2">
      <c r="B38">
        <v>0.54169092262751373</v>
      </c>
      <c r="C38">
        <v>3.5391291986445257E-2</v>
      </c>
      <c r="D38">
        <f t="shared" si="0"/>
        <v>0.50629963064106842</v>
      </c>
      <c r="E38">
        <f t="shared" si="1"/>
        <v>0.57708221461395903</v>
      </c>
      <c r="F38">
        <f t="shared" si="6"/>
        <v>0.2279197632781535</v>
      </c>
      <c r="G38">
        <f t="shared" si="4"/>
        <v>0</v>
      </c>
      <c r="L38">
        <v>0.67482654845865475</v>
      </c>
      <c r="M38">
        <v>1.5412690854560329E-3</v>
      </c>
      <c r="N38">
        <f t="shared" si="7"/>
        <v>0.67328527937319871</v>
      </c>
      <c r="O38">
        <f t="shared" si="8"/>
        <v>0.67636781754411079</v>
      </c>
      <c r="P38">
        <f t="shared" si="9"/>
        <v>0.67107959804918715</v>
      </c>
      <c r="Q38">
        <f t="shared" si="5"/>
        <v>0</v>
      </c>
    </row>
    <row r="39" spans="2:17" x14ac:dyDescent="0.2">
      <c r="B39">
        <v>0.60710787104284336</v>
      </c>
      <c r="C39">
        <v>3.5037783085195069E-2</v>
      </c>
      <c r="D39">
        <f t="shared" si="0"/>
        <v>0.57207008795764824</v>
      </c>
      <c r="E39">
        <f t="shared" si="1"/>
        <v>0.64214565412803848</v>
      </c>
      <c r="F39">
        <f t="shared" si="6"/>
        <v>0.2279197632781535</v>
      </c>
      <c r="G39">
        <f t="shared" si="4"/>
        <v>0</v>
      </c>
      <c r="L39">
        <v>0.67468208153569986</v>
      </c>
      <c r="M39">
        <v>4.8683894411408824E-3</v>
      </c>
      <c r="N39">
        <f t="shared" si="7"/>
        <v>0.66981369209455899</v>
      </c>
      <c r="O39">
        <f t="shared" si="8"/>
        <v>0.67955047097684074</v>
      </c>
      <c r="P39">
        <f t="shared" si="9"/>
        <v>0.67107959804918715</v>
      </c>
      <c r="Q39">
        <f t="shared" si="5"/>
        <v>0</v>
      </c>
    </row>
    <row r="40" spans="2:17" x14ac:dyDescent="0.2">
      <c r="B40">
        <v>0.39488524227189042</v>
      </c>
      <c r="C40">
        <v>3.478291588400436E-2</v>
      </c>
      <c r="D40">
        <f t="shared" si="0"/>
        <v>0.36010232638788608</v>
      </c>
      <c r="E40">
        <f t="shared" si="1"/>
        <v>0.42966815815589476</v>
      </c>
      <c r="F40">
        <f t="shared" si="6"/>
        <v>0.2279197632781535</v>
      </c>
      <c r="G40">
        <f t="shared" si="4"/>
        <v>0</v>
      </c>
      <c r="L40">
        <v>0.67033160280138182</v>
      </c>
      <c r="M40">
        <v>5.6348969423995711E-3</v>
      </c>
      <c r="N40">
        <f t="shared" si="7"/>
        <v>0.66469670585898222</v>
      </c>
      <c r="O40">
        <f t="shared" si="8"/>
        <v>0.67596649974378142</v>
      </c>
      <c r="P40">
        <f t="shared" si="9"/>
        <v>0.66469670585898222</v>
      </c>
      <c r="Q40">
        <f t="shared" si="5"/>
        <v>1</v>
      </c>
    </row>
    <row r="41" spans="2:17" x14ac:dyDescent="0.2">
      <c r="B41">
        <v>0.62170323192955712</v>
      </c>
      <c r="C41">
        <v>3.428724596226021E-2</v>
      </c>
      <c r="D41">
        <f t="shared" si="0"/>
        <v>0.58741598596729694</v>
      </c>
      <c r="E41">
        <f t="shared" si="1"/>
        <v>0.6559904778918173</v>
      </c>
      <c r="F41">
        <f t="shared" si="6"/>
        <v>0.2279197632781535</v>
      </c>
      <c r="G41">
        <f t="shared" si="4"/>
        <v>0</v>
      </c>
      <c r="L41">
        <v>0.66887750517098477</v>
      </c>
      <c r="M41">
        <v>1.0309744026150799E-2</v>
      </c>
      <c r="N41">
        <f t="shared" si="7"/>
        <v>0.65856776114483395</v>
      </c>
      <c r="O41">
        <f t="shared" si="8"/>
        <v>0.67918724919713558</v>
      </c>
      <c r="P41">
        <f t="shared" si="9"/>
        <v>0.66469670585898222</v>
      </c>
      <c r="Q41">
        <f t="shared" si="5"/>
        <v>0</v>
      </c>
    </row>
    <row r="42" spans="2:17" x14ac:dyDescent="0.2">
      <c r="B42">
        <v>0.27328695204299069</v>
      </c>
      <c r="C42">
        <v>3.343370308282935E-2</v>
      </c>
      <c r="D42">
        <f t="shared" si="0"/>
        <v>0.23985324896016136</v>
      </c>
      <c r="E42">
        <f t="shared" si="1"/>
        <v>0.30672065512582003</v>
      </c>
      <c r="F42">
        <f t="shared" si="6"/>
        <v>0.2279197632781535</v>
      </c>
      <c r="G42">
        <f t="shared" si="4"/>
        <v>0</v>
      </c>
      <c r="L42">
        <v>0.66700465336745207</v>
      </c>
      <c r="M42">
        <v>1.3959576260723741E-2</v>
      </c>
      <c r="N42">
        <f t="shared" si="7"/>
        <v>0.65304507710672832</v>
      </c>
      <c r="O42">
        <f t="shared" si="8"/>
        <v>0.68096422962817582</v>
      </c>
      <c r="P42">
        <f t="shared" si="9"/>
        <v>0.66469670585898222</v>
      </c>
      <c r="Q42">
        <f t="shared" si="5"/>
        <v>0</v>
      </c>
    </row>
    <row r="43" spans="2:17" x14ac:dyDescent="0.2">
      <c r="B43">
        <v>0.48956498819966932</v>
      </c>
      <c r="C43">
        <v>3.2320943971148812E-2</v>
      </c>
      <c r="D43">
        <f t="shared" si="0"/>
        <v>0.4572440442285205</v>
      </c>
      <c r="E43">
        <f t="shared" si="1"/>
        <v>0.52188593217081813</v>
      </c>
      <c r="F43">
        <f t="shared" si="6"/>
        <v>0.2279197632781535</v>
      </c>
      <c r="G43">
        <f t="shared" si="4"/>
        <v>0</v>
      </c>
      <c r="L43">
        <v>0.66229907886707051</v>
      </c>
      <c r="M43">
        <v>3.889109908174722E-3</v>
      </c>
      <c r="N43">
        <f t="shared" si="7"/>
        <v>0.65840996895889581</v>
      </c>
      <c r="O43">
        <f t="shared" si="8"/>
        <v>0.66618818877524522</v>
      </c>
      <c r="P43">
        <f t="shared" si="9"/>
        <v>0.65840996895889581</v>
      </c>
      <c r="Q43">
        <f t="shared" si="5"/>
        <v>1</v>
      </c>
    </row>
    <row r="44" spans="2:17" x14ac:dyDescent="0.2">
      <c r="B44">
        <v>0.52889411249703611</v>
      </c>
      <c r="C44">
        <v>3.1846371835477387E-2</v>
      </c>
      <c r="D44">
        <f t="shared" si="0"/>
        <v>0.49704774066155871</v>
      </c>
      <c r="E44">
        <f t="shared" si="1"/>
        <v>0.56074048433251344</v>
      </c>
      <c r="F44">
        <f t="shared" si="6"/>
        <v>0.2279197632781535</v>
      </c>
      <c r="G44">
        <f t="shared" si="4"/>
        <v>0</v>
      </c>
      <c r="L44">
        <v>0.66220015113446673</v>
      </c>
      <c r="M44">
        <v>1.279854830003236E-2</v>
      </c>
      <c r="N44">
        <f t="shared" si="7"/>
        <v>0.64940160283443438</v>
      </c>
      <c r="O44">
        <f t="shared" si="8"/>
        <v>0.67499869943449908</v>
      </c>
      <c r="P44">
        <f t="shared" si="9"/>
        <v>0.65840996895889581</v>
      </c>
      <c r="Q44">
        <f t="shared" si="5"/>
        <v>0</v>
      </c>
    </row>
    <row r="45" spans="2:17" x14ac:dyDescent="0.2">
      <c r="B45">
        <v>0.71845778722101694</v>
      </c>
      <c r="C45">
        <v>3.1474640979271183E-2</v>
      </c>
      <c r="D45">
        <f t="shared" si="0"/>
        <v>0.68698314624174572</v>
      </c>
      <c r="E45">
        <f t="shared" si="1"/>
        <v>0.74993242820028816</v>
      </c>
      <c r="F45">
        <f t="shared" si="6"/>
        <v>0.2279197632781535</v>
      </c>
      <c r="G45">
        <f t="shared" si="4"/>
        <v>0</v>
      </c>
      <c r="L45">
        <v>0.66047464906016184</v>
      </c>
      <c r="M45">
        <v>1.43344168732317E-2</v>
      </c>
      <c r="N45">
        <f t="shared" si="7"/>
        <v>0.64614023218693017</v>
      </c>
      <c r="O45">
        <f t="shared" si="8"/>
        <v>0.67480906593339351</v>
      </c>
      <c r="P45">
        <f t="shared" si="9"/>
        <v>0.65840996895889581</v>
      </c>
      <c r="Q45">
        <f t="shared" si="5"/>
        <v>0</v>
      </c>
    </row>
    <row r="46" spans="2:17" x14ac:dyDescent="0.2">
      <c r="B46">
        <v>0.73352299591924186</v>
      </c>
      <c r="C46">
        <v>3.0725218456701429E-2</v>
      </c>
      <c r="D46">
        <f t="shared" si="0"/>
        <v>0.70279777746254046</v>
      </c>
      <c r="E46">
        <f t="shared" si="1"/>
        <v>0.76424821437594326</v>
      </c>
      <c r="F46">
        <f t="shared" si="6"/>
        <v>0.2279197632781535</v>
      </c>
      <c r="G46">
        <f t="shared" si="4"/>
        <v>0</v>
      </c>
      <c r="L46">
        <v>0.65773305768043011</v>
      </c>
      <c r="M46">
        <v>5.0689870632973427E-3</v>
      </c>
      <c r="N46">
        <f t="shared" si="7"/>
        <v>0.65266407061713272</v>
      </c>
      <c r="O46">
        <f t="shared" si="8"/>
        <v>0.6628020447437275</v>
      </c>
      <c r="P46">
        <f t="shared" si="9"/>
        <v>0.65266407061713272</v>
      </c>
      <c r="Q46">
        <f t="shared" si="5"/>
        <v>1</v>
      </c>
    </row>
    <row r="47" spans="2:17" x14ac:dyDescent="0.2">
      <c r="B47">
        <v>0.58678303441002366</v>
      </c>
      <c r="C47">
        <v>3.0703944482479682E-2</v>
      </c>
      <c r="D47">
        <f t="shared" si="0"/>
        <v>0.55607908992754396</v>
      </c>
      <c r="E47">
        <f t="shared" si="1"/>
        <v>0.61748697889250337</v>
      </c>
      <c r="F47">
        <f t="shared" si="6"/>
        <v>0.2279197632781535</v>
      </c>
      <c r="G47">
        <f t="shared" si="4"/>
        <v>0</v>
      </c>
      <c r="L47">
        <v>0.65768316972727414</v>
      </c>
      <c r="M47">
        <v>1.9966591062924839E-3</v>
      </c>
      <c r="N47">
        <f t="shared" si="7"/>
        <v>0.65568651062098171</v>
      </c>
      <c r="O47">
        <f t="shared" si="8"/>
        <v>0.65967982883356657</v>
      </c>
      <c r="P47">
        <f t="shared" si="9"/>
        <v>0.65266407061713272</v>
      </c>
      <c r="Q47">
        <f t="shared" si="5"/>
        <v>0</v>
      </c>
    </row>
    <row r="48" spans="2:17" x14ac:dyDescent="0.2">
      <c r="B48">
        <v>0.44685229297709211</v>
      </c>
      <c r="C48">
        <v>3.0496499881497049E-2</v>
      </c>
      <c r="D48">
        <f t="shared" si="0"/>
        <v>0.41635579309559506</v>
      </c>
      <c r="E48">
        <f t="shared" si="1"/>
        <v>0.47734879285858917</v>
      </c>
      <c r="F48">
        <f t="shared" si="6"/>
        <v>0.2279197632781535</v>
      </c>
      <c r="G48">
        <f t="shared" si="4"/>
        <v>0</v>
      </c>
      <c r="L48">
        <v>0.65714837569503282</v>
      </c>
      <c r="M48">
        <v>1.9011686932792531E-2</v>
      </c>
      <c r="N48">
        <f t="shared" si="7"/>
        <v>0.63813668876224028</v>
      </c>
      <c r="O48">
        <f t="shared" si="8"/>
        <v>0.67616006262782535</v>
      </c>
      <c r="P48">
        <f t="shared" si="9"/>
        <v>0.65266407061713272</v>
      </c>
      <c r="Q48">
        <f t="shared" si="5"/>
        <v>0</v>
      </c>
    </row>
    <row r="49" spans="2:17" x14ac:dyDescent="0.2">
      <c r="B49">
        <v>0.64828211242714795</v>
      </c>
      <c r="C49">
        <v>2.9618743120795401E-2</v>
      </c>
      <c r="D49">
        <f t="shared" si="0"/>
        <v>0.61866336930635257</v>
      </c>
      <c r="E49">
        <f t="shared" si="1"/>
        <v>0.67790085554794333</v>
      </c>
      <c r="F49">
        <f t="shared" si="6"/>
        <v>0.2279197632781535</v>
      </c>
      <c r="G49">
        <f t="shared" si="4"/>
        <v>0</v>
      </c>
      <c r="L49">
        <v>0.65646211861144355</v>
      </c>
      <c r="M49">
        <v>2.997222992303717E-3</v>
      </c>
      <c r="N49">
        <f t="shared" si="7"/>
        <v>0.65346489561913979</v>
      </c>
      <c r="O49">
        <f t="shared" si="8"/>
        <v>0.65945934160374731</v>
      </c>
      <c r="P49">
        <f t="shared" si="9"/>
        <v>0.65266407061713272</v>
      </c>
      <c r="Q49">
        <f t="shared" si="5"/>
        <v>0</v>
      </c>
    </row>
    <row r="50" spans="2:17" x14ac:dyDescent="0.2">
      <c r="B50">
        <v>0.64428759110124734</v>
      </c>
      <c r="C50">
        <v>2.9600093819201059E-2</v>
      </c>
      <c r="D50">
        <f t="shared" si="0"/>
        <v>0.6146874972820463</v>
      </c>
      <c r="E50">
        <f t="shared" si="1"/>
        <v>0.67388768492044837</v>
      </c>
      <c r="F50">
        <f t="shared" si="6"/>
        <v>0.2279197632781535</v>
      </c>
      <c r="G50">
        <f t="shared" si="4"/>
        <v>0</v>
      </c>
      <c r="L50">
        <v>0.64984438748385964</v>
      </c>
      <c r="M50">
        <v>2.0821699580131181E-3</v>
      </c>
      <c r="N50">
        <f t="shared" si="7"/>
        <v>0.64776221752584651</v>
      </c>
      <c r="O50">
        <f t="shared" si="8"/>
        <v>0.65192655744187278</v>
      </c>
      <c r="P50">
        <f t="shared" si="9"/>
        <v>0.64776221752584651</v>
      </c>
      <c r="Q50">
        <f t="shared" si="5"/>
        <v>1</v>
      </c>
    </row>
    <row r="51" spans="2:17" x14ac:dyDescent="0.2">
      <c r="B51">
        <v>0.50301302213882371</v>
      </c>
      <c r="C51">
        <v>2.907263379726506E-2</v>
      </c>
      <c r="D51">
        <f t="shared" si="0"/>
        <v>0.47394038834155866</v>
      </c>
      <c r="E51">
        <f t="shared" si="1"/>
        <v>0.53208565593608881</v>
      </c>
      <c r="F51">
        <f t="shared" si="6"/>
        <v>0.2279197632781535</v>
      </c>
      <c r="G51">
        <f t="shared" si="4"/>
        <v>0</v>
      </c>
      <c r="L51">
        <v>0.63780329791790891</v>
      </c>
      <c r="M51">
        <v>1.506848913820889E-2</v>
      </c>
      <c r="N51">
        <f t="shared" si="7"/>
        <v>0.6227348087797</v>
      </c>
      <c r="O51">
        <f t="shared" si="8"/>
        <v>0.65287178705611781</v>
      </c>
      <c r="P51">
        <f t="shared" si="9"/>
        <v>0.6227348087797</v>
      </c>
      <c r="Q51">
        <f t="shared" si="5"/>
        <v>1</v>
      </c>
    </row>
    <row r="52" spans="2:17" x14ac:dyDescent="0.2">
      <c r="B52">
        <v>0.55931980404332848</v>
      </c>
      <c r="C52">
        <v>2.900922766400655E-2</v>
      </c>
      <c r="D52">
        <f t="shared" si="0"/>
        <v>0.53031057637932189</v>
      </c>
      <c r="E52">
        <f t="shared" si="1"/>
        <v>0.58832903170733508</v>
      </c>
      <c r="F52">
        <f t="shared" si="6"/>
        <v>0.2279197632781535</v>
      </c>
      <c r="G52">
        <f t="shared" si="4"/>
        <v>0</v>
      </c>
      <c r="L52">
        <v>0.63528158908340926</v>
      </c>
      <c r="M52">
        <v>1.9001075258906871E-2</v>
      </c>
      <c r="N52">
        <f t="shared" si="7"/>
        <v>0.61628051382450244</v>
      </c>
      <c r="O52">
        <f t="shared" si="8"/>
        <v>0.65428266434231608</v>
      </c>
      <c r="P52">
        <f t="shared" si="9"/>
        <v>0.6227348087797</v>
      </c>
      <c r="Q52">
        <f t="shared" si="5"/>
        <v>0</v>
      </c>
    </row>
    <row r="53" spans="2:17" x14ac:dyDescent="0.2">
      <c r="B53">
        <v>0.58709926990594508</v>
      </c>
      <c r="C53">
        <v>2.8869069467000959E-2</v>
      </c>
      <c r="D53">
        <f t="shared" si="0"/>
        <v>0.55823020043894411</v>
      </c>
      <c r="E53">
        <f t="shared" si="1"/>
        <v>0.61596833937294604</v>
      </c>
      <c r="F53">
        <f t="shared" si="6"/>
        <v>0.2279197632781535</v>
      </c>
      <c r="G53">
        <f t="shared" si="4"/>
        <v>0</v>
      </c>
      <c r="L53">
        <v>0.63273350202314915</v>
      </c>
      <c r="M53">
        <v>1.596238906689508E-2</v>
      </c>
      <c r="N53">
        <f t="shared" si="7"/>
        <v>0.61677111295625409</v>
      </c>
      <c r="O53">
        <f t="shared" si="8"/>
        <v>0.64869589109004422</v>
      </c>
      <c r="P53">
        <f t="shared" si="9"/>
        <v>0.6227348087797</v>
      </c>
      <c r="Q53">
        <f t="shared" si="5"/>
        <v>0</v>
      </c>
    </row>
    <row r="54" spans="2:17" x14ac:dyDescent="0.2">
      <c r="B54">
        <v>0.69145664497104142</v>
      </c>
      <c r="C54">
        <v>2.7814237008842599E-2</v>
      </c>
      <c r="D54">
        <f t="shared" si="0"/>
        <v>0.66364240796219887</v>
      </c>
      <c r="E54">
        <f t="shared" si="1"/>
        <v>0.71927088197988398</v>
      </c>
      <c r="F54">
        <f t="shared" si="6"/>
        <v>0.2279197632781535</v>
      </c>
      <c r="G54">
        <f t="shared" si="4"/>
        <v>0</v>
      </c>
      <c r="L54">
        <v>0.63260583408146709</v>
      </c>
      <c r="M54">
        <v>1.2068605580688729E-2</v>
      </c>
      <c r="N54">
        <f t="shared" si="7"/>
        <v>0.62053722850077841</v>
      </c>
      <c r="O54">
        <f t="shared" si="8"/>
        <v>0.64467443966215576</v>
      </c>
      <c r="P54">
        <f t="shared" si="9"/>
        <v>0.6227348087797</v>
      </c>
      <c r="Q54">
        <f t="shared" si="5"/>
        <v>0</v>
      </c>
    </row>
    <row r="55" spans="2:17" x14ac:dyDescent="0.2">
      <c r="B55">
        <v>0.69444711374250845</v>
      </c>
      <c r="C55">
        <v>2.7564668502500549E-2</v>
      </c>
      <c r="D55">
        <f t="shared" si="0"/>
        <v>0.66688244524000795</v>
      </c>
      <c r="E55">
        <f t="shared" si="1"/>
        <v>0.72201178224500895</v>
      </c>
      <c r="F55">
        <f t="shared" si="6"/>
        <v>0.2279197632781535</v>
      </c>
      <c r="G55">
        <f t="shared" si="4"/>
        <v>0</v>
      </c>
      <c r="L55">
        <v>0.62686091912652586</v>
      </c>
      <c r="M55">
        <v>2.804833040549526E-3</v>
      </c>
      <c r="N55">
        <f t="shared" si="7"/>
        <v>0.62405608608597629</v>
      </c>
      <c r="O55">
        <f t="shared" si="8"/>
        <v>0.62966575216707543</v>
      </c>
      <c r="P55">
        <f t="shared" si="9"/>
        <v>0.6227348087797</v>
      </c>
      <c r="Q55">
        <f t="shared" si="5"/>
        <v>0</v>
      </c>
    </row>
    <row r="56" spans="2:17" x14ac:dyDescent="0.2">
      <c r="B56">
        <v>0.35896258014389981</v>
      </c>
      <c r="C56">
        <v>2.6975937400583992E-2</v>
      </c>
      <c r="D56">
        <f t="shared" si="0"/>
        <v>0.3319866427433158</v>
      </c>
      <c r="E56">
        <f t="shared" si="1"/>
        <v>0.38593851754448383</v>
      </c>
      <c r="F56">
        <f t="shared" si="6"/>
        <v>0.2279197632781535</v>
      </c>
      <c r="G56">
        <f t="shared" si="4"/>
        <v>0</v>
      </c>
      <c r="L56">
        <v>0.62629408615185944</v>
      </c>
      <c r="M56">
        <v>1.253065730196808E-3</v>
      </c>
      <c r="N56">
        <f t="shared" si="7"/>
        <v>0.62504102042166265</v>
      </c>
      <c r="O56">
        <f t="shared" si="8"/>
        <v>0.62754715188205623</v>
      </c>
      <c r="P56">
        <f t="shared" si="9"/>
        <v>0.6227348087797</v>
      </c>
      <c r="Q56">
        <f t="shared" si="5"/>
        <v>0</v>
      </c>
    </row>
    <row r="57" spans="2:17" x14ac:dyDescent="0.2">
      <c r="B57">
        <v>0.44458277238685501</v>
      </c>
      <c r="C57">
        <v>2.6721786500665749E-2</v>
      </c>
      <c r="D57">
        <f t="shared" si="0"/>
        <v>0.41786098588618925</v>
      </c>
      <c r="E57">
        <f t="shared" si="1"/>
        <v>0.47130455888752076</v>
      </c>
      <c r="F57">
        <f t="shared" si="6"/>
        <v>0.2279197632781535</v>
      </c>
      <c r="G57">
        <f t="shared" si="4"/>
        <v>0</v>
      </c>
      <c r="L57">
        <v>0.62437432797528725</v>
      </c>
      <c r="M57">
        <v>1.8611389843146049E-2</v>
      </c>
      <c r="N57">
        <f t="shared" si="7"/>
        <v>0.60576293813214122</v>
      </c>
      <c r="O57">
        <f t="shared" si="8"/>
        <v>0.64298571781843328</v>
      </c>
      <c r="P57">
        <f t="shared" si="9"/>
        <v>0.6227348087797</v>
      </c>
      <c r="Q57">
        <f t="shared" si="5"/>
        <v>0</v>
      </c>
    </row>
    <row r="58" spans="2:17" x14ac:dyDescent="0.2">
      <c r="B58">
        <v>0.71728224953341591</v>
      </c>
      <c r="C58">
        <v>2.6390732279320581E-2</v>
      </c>
      <c r="D58">
        <f t="shared" si="0"/>
        <v>0.69089151725409537</v>
      </c>
      <c r="E58">
        <f t="shared" si="1"/>
        <v>0.74367298181273644</v>
      </c>
      <c r="F58">
        <f t="shared" si="6"/>
        <v>0.2279197632781535</v>
      </c>
      <c r="G58">
        <f t="shared" si="4"/>
        <v>0</v>
      </c>
      <c r="L58">
        <v>0.62418955267529463</v>
      </c>
      <c r="M58">
        <v>1.5042595441486161E-2</v>
      </c>
      <c r="N58">
        <f t="shared" si="7"/>
        <v>0.60914695723380852</v>
      </c>
      <c r="O58">
        <f t="shared" si="8"/>
        <v>0.63923214811678075</v>
      </c>
      <c r="P58">
        <f t="shared" si="9"/>
        <v>0.6227348087797</v>
      </c>
      <c r="Q58">
        <f t="shared" si="5"/>
        <v>0</v>
      </c>
    </row>
    <row r="59" spans="2:17" x14ac:dyDescent="0.2">
      <c r="B59">
        <v>0.78046175667533335</v>
      </c>
      <c r="C59">
        <v>2.6038343250464141E-2</v>
      </c>
      <c r="D59">
        <f t="shared" si="0"/>
        <v>0.75442341342486918</v>
      </c>
      <c r="E59">
        <f t="shared" si="1"/>
        <v>0.80650009992579752</v>
      </c>
      <c r="F59">
        <f t="shared" si="6"/>
        <v>0.2279197632781535</v>
      </c>
      <c r="G59">
        <f t="shared" si="4"/>
        <v>0</v>
      </c>
      <c r="L59">
        <v>0.61833377633816888</v>
      </c>
      <c r="M59">
        <v>7.2754748017715212E-3</v>
      </c>
      <c r="N59">
        <f t="shared" si="7"/>
        <v>0.6110583015363974</v>
      </c>
      <c r="O59">
        <f t="shared" si="8"/>
        <v>0.62560925113994037</v>
      </c>
      <c r="P59">
        <f t="shared" si="9"/>
        <v>0.6110583015363974</v>
      </c>
      <c r="Q59">
        <f t="shared" si="5"/>
        <v>1</v>
      </c>
    </row>
    <row r="60" spans="2:17" x14ac:dyDescent="0.2">
      <c r="B60">
        <v>0.51014969327298154</v>
      </c>
      <c r="C60">
        <v>2.5993188017183928E-2</v>
      </c>
      <c r="D60">
        <f t="shared" si="0"/>
        <v>0.48415650525579762</v>
      </c>
      <c r="E60">
        <f t="shared" si="1"/>
        <v>0.53614288129016552</v>
      </c>
      <c r="F60">
        <f t="shared" si="6"/>
        <v>0.2279197632781535</v>
      </c>
      <c r="G60">
        <f t="shared" si="4"/>
        <v>0</v>
      </c>
      <c r="L60">
        <v>0.61675277301718301</v>
      </c>
      <c r="M60">
        <v>7.9230982780971338E-3</v>
      </c>
      <c r="N60">
        <f t="shared" si="7"/>
        <v>0.60882967473908589</v>
      </c>
      <c r="O60">
        <f t="shared" si="8"/>
        <v>0.62467587129528013</v>
      </c>
      <c r="P60">
        <f t="shared" si="9"/>
        <v>0.6110583015363974</v>
      </c>
      <c r="Q60">
        <f t="shared" si="5"/>
        <v>0</v>
      </c>
    </row>
    <row r="61" spans="2:17" x14ac:dyDescent="0.2">
      <c r="B61">
        <v>0.43274234568308723</v>
      </c>
      <c r="C61">
        <v>2.5577205187964681E-2</v>
      </c>
      <c r="D61">
        <f t="shared" si="0"/>
        <v>0.40716514049512254</v>
      </c>
      <c r="E61">
        <f t="shared" si="1"/>
        <v>0.45831955087105192</v>
      </c>
      <c r="F61">
        <f t="shared" si="6"/>
        <v>0.2279197632781535</v>
      </c>
      <c r="G61">
        <f t="shared" si="4"/>
        <v>0</v>
      </c>
      <c r="L61">
        <v>0.61516241216400336</v>
      </c>
      <c r="M61">
        <v>1.9711639632541501E-2</v>
      </c>
      <c r="N61">
        <f t="shared" si="7"/>
        <v>0.59545077253146184</v>
      </c>
      <c r="O61">
        <f t="shared" si="8"/>
        <v>0.63487405179654488</v>
      </c>
      <c r="P61">
        <f t="shared" si="9"/>
        <v>0.6110583015363974</v>
      </c>
      <c r="Q61">
        <f t="shared" si="5"/>
        <v>0</v>
      </c>
    </row>
    <row r="62" spans="2:17" x14ac:dyDescent="0.2">
      <c r="B62">
        <v>0.69869659079569546</v>
      </c>
      <c r="C62">
        <v>2.527678793962157E-2</v>
      </c>
      <c r="D62">
        <f t="shared" si="0"/>
        <v>0.67341980285607383</v>
      </c>
      <c r="E62">
        <f t="shared" si="1"/>
        <v>0.72397337873531709</v>
      </c>
      <c r="F62">
        <f t="shared" si="6"/>
        <v>0.2279197632781535</v>
      </c>
      <c r="G62">
        <f t="shared" si="4"/>
        <v>0</v>
      </c>
      <c r="L62">
        <v>0.61398404002864582</v>
      </c>
      <c r="M62">
        <v>7.9847201489404197E-3</v>
      </c>
      <c r="N62">
        <f t="shared" si="7"/>
        <v>0.60599931987970534</v>
      </c>
      <c r="O62">
        <f t="shared" si="8"/>
        <v>0.62196876017758629</v>
      </c>
      <c r="P62">
        <f t="shared" si="9"/>
        <v>0.6110583015363974</v>
      </c>
      <c r="Q62">
        <f t="shared" si="5"/>
        <v>0</v>
      </c>
    </row>
    <row r="63" spans="2:17" x14ac:dyDescent="0.2">
      <c r="B63">
        <v>0.47420913164235229</v>
      </c>
      <c r="C63">
        <v>2.525022903617799E-2</v>
      </c>
      <c r="D63">
        <f t="shared" si="0"/>
        <v>0.44895890260617433</v>
      </c>
      <c r="E63">
        <f t="shared" si="1"/>
        <v>0.49945936067853025</v>
      </c>
      <c r="F63">
        <f t="shared" si="6"/>
        <v>0.2279197632781535</v>
      </c>
      <c r="G63">
        <f t="shared" si="4"/>
        <v>0</v>
      </c>
      <c r="L63">
        <v>0.61304801318772928</v>
      </c>
      <c r="M63">
        <v>1.818278693797035E-2</v>
      </c>
      <c r="N63">
        <f t="shared" si="7"/>
        <v>0.5948652262497589</v>
      </c>
      <c r="O63">
        <f t="shared" si="8"/>
        <v>0.63123080012569965</v>
      </c>
      <c r="P63">
        <f t="shared" si="9"/>
        <v>0.6110583015363974</v>
      </c>
      <c r="Q63">
        <f t="shared" si="5"/>
        <v>0</v>
      </c>
    </row>
    <row r="64" spans="2:17" x14ac:dyDescent="0.2">
      <c r="B64">
        <v>0.43057727480991331</v>
      </c>
      <c r="C64">
        <v>2.506965035899289E-2</v>
      </c>
      <c r="D64">
        <f t="shared" si="0"/>
        <v>0.40550762445092042</v>
      </c>
      <c r="E64">
        <f t="shared" si="1"/>
        <v>0.4556469251689062</v>
      </c>
      <c r="F64">
        <f t="shared" si="6"/>
        <v>0.2279197632781535</v>
      </c>
      <c r="G64">
        <f t="shared" si="4"/>
        <v>0</v>
      </c>
      <c r="L64">
        <v>0.60893044652887773</v>
      </c>
      <c r="M64">
        <v>7.200705410837587E-3</v>
      </c>
      <c r="N64">
        <f t="shared" si="7"/>
        <v>0.60172974111804012</v>
      </c>
      <c r="O64">
        <f t="shared" si="8"/>
        <v>0.61613115193971535</v>
      </c>
      <c r="P64">
        <f t="shared" si="9"/>
        <v>0.60172974111804012</v>
      </c>
      <c r="Q64">
        <f t="shared" si="5"/>
        <v>1</v>
      </c>
    </row>
    <row r="65" spans="2:17" x14ac:dyDescent="0.2">
      <c r="B65">
        <v>0.40618778947019463</v>
      </c>
      <c r="C65">
        <v>2.4473382732565632E-2</v>
      </c>
      <c r="D65">
        <f t="shared" si="0"/>
        <v>0.38171440673762902</v>
      </c>
      <c r="E65">
        <f t="shared" si="1"/>
        <v>0.43066117220276023</v>
      </c>
      <c r="F65">
        <f t="shared" si="6"/>
        <v>0.2279197632781535</v>
      </c>
      <c r="G65">
        <f t="shared" si="4"/>
        <v>0</v>
      </c>
      <c r="L65">
        <v>0.60263422497734676</v>
      </c>
      <c r="M65">
        <v>9.804417129259918E-3</v>
      </c>
      <c r="N65">
        <f t="shared" si="7"/>
        <v>0.59282980784808681</v>
      </c>
      <c r="O65">
        <f t="shared" si="8"/>
        <v>0.6124386421066067</v>
      </c>
      <c r="P65">
        <f t="shared" si="9"/>
        <v>0.60172974111804012</v>
      </c>
      <c r="Q65">
        <f t="shared" si="5"/>
        <v>0</v>
      </c>
    </row>
    <row r="66" spans="2:17" x14ac:dyDescent="0.2">
      <c r="B66">
        <v>0.6492149582239517</v>
      </c>
      <c r="C66">
        <v>2.4140816560313309E-2</v>
      </c>
      <c r="D66">
        <f t="shared" si="0"/>
        <v>0.62507414166363839</v>
      </c>
      <c r="E66">
        <f t="shared" si="1"/>
        <v>0.673355774784265</v>
      </c>
      <c r="F66">
        <f t="shared" si="6"/>
        <v>0.2279197632781535</v>
      </c>
      <c r="G66">
        <f t="shared" si="4"/>
        <v>0</v>
      </c>
      <c r="L66">
        <v>0.6026146588475112</v>
      </c>
      <c r="M66">
        <v>4.8842084080157992E-3</v>
      </c>
      <c r="N66">
        <f t="shared" si="7"/>
        <v>0.59773045043949535</v>
      </c>
      <c r="O66">
        <f t="shared" si="8"/>
        <v>0.60749886725552704</v>
      </c>
      <c r="P66">
        <f t="shared" si="9"/>
        <v>0.60172974111804012</v>
      </c>
      <c r="Q66">
        <f t="shared" si="5"/>
        <v>0</v>
      </c>
    </row>
    <row r="67" spans="2:17" x14ac:dyDescent="0.2">
      <c r="B67">
        <v>0.79560005800998912</v>
      </c>
      <c r="C67">
        <v>2.391403548404538E-2</v>
      </c>
      <c r="D67">
        <f t="shared" ref="D67:D130" si="10">B67-C67</f>
        <v>0.77168602252594376</v>
      </c>
      <c r="E67">
        <f t="shared" ref="E67:E130" si="11">B67+C67</f>
        <v>0.81951409349403448</v>
      </c>
      <c r="F67">
        <f t="shared" si="6"/>
        <v>0.2279197632781535</v>
      </c>
      <c r="G67">
        <f t="shared" si="4"/>
        <v>0</v>
      </c>
      <c r="L67">
        <v>0.60038047094926505</v>
      </c>
      <c r="M67">
        <v>8.3627670827392201E-3</v>
      </c>
      <c r="N67">
        <f t="shared" si="7"/>
        <v>0.59201770386652586</v>
      </c>
      <c r="O67">
        <f t="shared" si="8"/>
        <v>0.60874323803200425</v>
      </c>
      <c r="P67">
        <f t="shared" si="9"/>
        <v>0.59201770386652586</v>
      </c>
      <c r="Q67">
        <f t="shared" si="5"/>
        <v>1</v>
      </c>
    </row>
    <row r="68" spans="2:17" x14ac:dyDescent="0.2">
      <c r="B68">
        <v>0.51862750017427373</v>
      </c>
      <c r="C68">
        <v>2.3663241993457249E-2</v>
      </c>
      <c r="D68">
        <f t="shared" si="10"/>
        <v>0.49496425818081646</v>
      </c>
      <c r="E68">
        <f t="shared" si="11"/>
        <v>0.54229074216773099</v>
      </c>
      <c r="F68">
        <f t="shared" ref="F68:F131" si="12">IF(B68&gt;F67,F67,D68)</f>
        <v>0.2279197632781535</v>
      </c>
      <c r="G68">
        <f t="shared" ref="G68:G131" si="13">IF(F68=F67,0,1)</f>
        <v>0</v>
      </c>
      <c r="L68">
        <v>0.59985820636935139</v>
      </c>
      <c r="M68">
        <v>1.0959715520701369E-2</v>
      </c>
      <c r="N68">
        <f t="shared" si="7"/>
        <v>0.58889849084864998</v>
      </c>
      <c r="O68">
        <f t="shared" si="8"/>
        <v>0.6108179218900528</v>
      </c>
      <c r="P68">
        <f t="shared" si="9"/>
        <v>0.59201770386652586</v>
      </c>
      <c r="Q68">
        <f t="shared" ref="Q68:Q131" si="14">IF(P68=P67,0,1)</f>
        <v>0</v>
      </c>
    </row>
    <row r="69" spans="2:17" x14ac:dyDescent="0.2">
      <c r="B69">
        <v>0.45858395315965289</v>
      </c>
      <c r="C69">
        <v>2.341325267664297E-2</v>
      </c>
      <c r="D69">
        <f t="shared" si="10"/>
        <v>0.43517070048300993</v>
      </c>
      <c r="E69">
        <f t="shared" si="11"/>
        <v>0.48199720583629585</v>
      </c>
      <c r="F69">
        <f t="shared" si="12"/>
        <v>0.2279197632781535</v>
      </c>
      <c r="G69">
        <f t="shared" si="13"/>
        <v>0</v>
      </c>
      <c r="L69">
        <v>0.59783363606312978</v>
      </c>
      <c r="M69">
        <v>1.8042976603181979E-2</v>
      </c>
      <c r="N69">
        <f t="shared" ref="N69:N132" si="15">L69-M69</f>
        <v>0.57979065945994779</v>
      </c>
      <c r="O69">
        <f t="shared" ref="O69:O132" si="16">L69+M69</f>
        <v>0.61587661266631177</v>
      </c>
      <c r="P69">
        <f t="shared" ref="P69:P132" si="17">IF(L69&gt;P68,P68,N69)</f>
        <v>0.59201770386652586</v>
      </c>
      <c r="Q69">
        <f t="shared" si="14"/>
        <v>0</v>
      </c>
    </row>
    <row r="70" spans="2:17" x14ac:dyDescent="0.2">
      <c r="B70">
        <v>0.47526373998676202</v>
      </c>
      <c r="C70">
        <v>2.3134473714520931E-2</v>
      </c>
      <c r="D70">
        <f t="shared" si="10"/>
        <v>0.45212926627224109</v>
      </c>
      <c r="E70">
        <f t="shared" si="11"/>
        <v>0.49839821370128295</v>
      </c>
      <c r="F70">
        <f t="shared" si="12"/>
        <v>0.2279197632781535</v>
      </c>
      <c r="G70">
        <f t="shared" si="13"/>
        <v>0</v>
      </c>
      <c r="L70">
        <v>0.59592276002590816</v>
      </c>
      <c r="M70">
        <v>1.4773616102523609E-2</v>
      </c>
      <c r="N70">
        <f t="shared" si="15"/>
        <v>0.58114914392338457</v>
      </c>
      <c r="O70">
        <f t="shared" si="16"/>
        <v>0.61069637612843175</v>
      </c>
      <c r="P70">
        <f t="shared" si="17"/>
        <v>0.59201770386652586</v>
      </c>
      <c r="Q70">
        <f t="shared" si="14"/>
        <v>0</v>
      </c>
    </row>
    <row r="71" spans="2:17" x14ac:dyDescent="0.2">
      <c r="B71">
        <v>0.48747824394714961</v>
      </c>
      <c r="C71">
        <v>2.2908287225334941E-2</v>
      </c>
      <c r="D71">
        <f t="shared" si="10"/>
        <v>0.46456995672181467</v>
      </c>
      <c r="E71">
        <f t="shared" si="11"/>
        <v>0.51038653117248456</v>
      </c>
      <c r="F71">
        <f t="shared" si="12"/>
        <v>0.2279197632781535</v>
      </c>
      <c r="G71">
        <f t="shared" si="13"/>
        <v>0</v>
      </c>
      <c r="L71">
        <v>0.59505584426712832</v>
      </c>
      <c r="M71">
        <v>1.143159412873271E-2</v>
      </c>
      <c r="N71">
        <f t="shared" si="15"/>
        <v>0.58362425013839558</v>
      </c>
      <c r="O71">
        <f t="shared" si="16"/>
        <v>0.60648743839586106</v>
      </c>
      <c r="P71">
        <f t="shared" si="17"/>
        <v>0.59201770386652586</v>
      </c>
      <c r="Q71">
        <f t="shared" si="14"/>
        <v>0</v>
      </c>
    </row>
    <row r="72" spans="2:17" x14ac:dyDescent="0.2">
      <c r="B72">
        <v>0.55480186261004749</v>
      </c>
      <c r="C72">
        <v>2.2845418260648349E-2</v>
      </c>
      <c r="D72">
        <f t="shared" si="10"/>
        <v>0.53195644434939915</v>
      </c>
      <c r="E72">
        <f t="shared" si="11"/>
        <v>0.57764728087069583</v>
      </c>
      <c r="F72">
        <f t="shared" si="12"/>
        <v>0.2279197632781535</v>
      </c>
      <c r="G72">
        <f t="shared" si="13"/>
        <v>0</v>
      </c>
      <c r="L72">
        <v>0.59412662643901271</v>
      </c>
      <c r="M72">
        <v>7.7382065490691748E-3</v>
      </c>
      <c r="N72">
        <f t="shared" si="15"/>
        <v>0.5863884198899435</v>
      </c>
      <c r="O72">
        <f t="shared" si="16"/>
        <v>0.60186483298808191</v>
      </c>
      <c r="P72">
        <f t="shared" si="17"/>
        <v>0.59201770386652586</v>
      </c>
      <c r="Q72">
        <f t="shared" si="14"/>
        <v>0</v>
      </c>
    </row>
    <row r="73" spans="2:17" x14ac:dyDescent="0.2">
      <c r="B73">
        <v>0.60589474464084003</v>
      </c>
      <c r="C73">
        <v>2.2807897106579222E-2</v>
      </c>
      <c r="D73">
        <f t="shared" si="10"/>
        <v>0.58308684753426077</v>
      </c>
      <c r="E73">
        <f t="shared" si="11"/>
        <v>0.6287026417474193</v>
      </c>
      <c r="F73">
        <f t="shared" si="12"/>
        <v>0.2279197632781535</v>
      </c>
      <c r="G73">
        <f t="shared" si="13"/>
        <v>0</v>
      </c>
      <c r="L73">
        <v>0.59062697927855434</v>
      </c>
      <c r="M73">
        <v>1.0539073370809121E-2</v>
      </c>
      <c r="N73">
        <f t="shared" si="15"/>
        <v>0.58008790590774517</v>
      </c>
      <c r="O73">
        <f t="shared" si="16"/>
        <v>0.60116605264936351</v>
      </c>
      <c r="P73">
        <f t="shared" si="17"/>
        <v>0.58008790590774517</v>
      </c>
      <c r="Q73">
        <f t="shared" si="14"/>
        <v>1</v>
      </c>
    </row>
    <row r="74" spans="2:17" x14ac:dyDescent="0.2">
      <c r="B74">
        <v>0.45608775540731228</v>
      </c>
      <c r="C74">
        <v>2.280717791957405E-2</v>
      </c>
      <c r="D74">
        <f t="shared" si="10"/>
        <v>0.43328057748773824</v>
      </c>
      <c r="E74">
        <f t="shared" si="11"/>
        <v>0.47889493332688632</v>
      </c>
      <c r="F74">
        <f t="shared" si="12"/>
        <v>0.2279197632781535</v>
      </c>
      <c r="G74">
        <f t="shared" si="13"/>
        <v>0</v>
      </c>
      <c r="L74">
        <v>0.58615225102100565</v>
      </c>
      <c r="M74">
        <v>1.30730254302091E-2</v>
      </c>
      <c r="N74">
        <f t="shared" si="15"/>
        <v>0.5730792255907966</v>
      </c>
      <c r="O74">
        <f t="shared" si="16"/>
        <v>0.59922527645121471</v>
      </c>
      <c r="P74">
        <f t="shared" si="17"/>
        <v>0.58008790590774517</v>
      </c>
      <c r="Q74">
        <f t="shared" si="14"/>
        <v>0</v>
      </c>
    </row>
    <row r="75" spans="2:17" x14ac:dyDescent="0.2">
      <c r="B75">
        <v>0.5214642864421315</v>
      </c>
      <c r="C75">
        <v>2.280240188453261E-2</v>
      </c>
      <c r="D75">
        <f t="shared" si="10"/>
        <v>0.49866188455759891</v>
      </c>
      <c r="E75">
        <f t="shared" si="11"/>
        <v>0.54426668832666414</v>
      </c>
      <c r="F75">
        <f t="shared" si="12"/>
        <v>0.2279197632781535</v>
      </c>
      <c r="G75">
        <f t="shared" si="13"/>
        <v>0</v>
      </c>
      <c r="L75">
        <v>0.57846570163285538</v>
      </c>
      <c r="M75">
        <v>6.3275101071999483E-3</v>
      </c>
      <c r="N75">
        <f t="shared" si="15"/>
        <v>0.57213819152565548</v>
      </c>
      <c r="O75">
        <f t="shared" si="16"/>
        <v>0.58479321174005527</v>
      </c>
      <c r="P75">
        <f t="shared" si="17"/>
        <v>0.57213819152565548</v>
      </c>
      <c r="Q75">
        <f t="shared" si="14"/>
        <v>1</v>
      </c>
    </row>
    <row r="76" spans="2:17" x14ac:dyDescent="0.2">
      <c r="B76">
        <v>0.23525418601533199</v>
      </c>
      <c r="C76">
        <v>2.2264469849430469E-2</v>
      </c>
      <c r="D76">
        <f t="shared" si="10"/>
        <v>0.21298971616590151</v>
      </c>
      <c r="E76">
        <f t="shared" si="11"/>
        <v>0.25751865586476247</v>
      </c>
      <c r="F76">
        <f t="shared" si="12"/>
        <v>0.2279197632781535</v>
      </c>
      <c r="G76">
        <f t="shared" si="13"/>
        <v>0</v>
      </c>
      <c r="L76">
        <v>0.57667143084760197</v>
      </c>
      <c r="M76">
        <v>2.7955393491889912E-3</v>
      </c>
      <c r="N76">
        <f t="shared" si="15"/>
        <v>0.573875891498413</v>
      </c>
      <c r="O76">
        <f t="shared" si="16"/>
        <v>0.57946697019679094</v>
      </c>
      <c r="P76">
        <f t="shared" si="17"/>
        <v>0.57213819152565548</v>
      </c>
      <c r="Q76">
        <f t="shared" si="14"/>
        <v>0</v>
      </c>
    </row>
    <row r="77" spans="2:17" x14ac:dyDescent="0.2">
      <c r="B77">
        <v>0.70395331046938281</v>
      </c>
      <c r="C77">
        <v>2.195615167210585E-2</v>
      </c>
      <c r="D77">
        <f t="shared" si="10"/>
        <v>0.68199715879727696</v>
      </c>
      <c r="E77">
        <f t="shared" si="11"/>
        <v>0.72590946214148866</v>
      </c>
      <c r="F77">
        <f t="shared" si="12"/>
        <v>0.2279197632781535</v>
      </c>
      <c r="G77">
        <f t="shared" si="13"/>
        <v>0</v>
      </c>
      <c r="L77">
        <v>0.5754304709039082</v>
      </c>
      <c r="M77">
        <v>4.3636082225206223E-3</v>
      </c>
      <c r="N77">
        <f t="shared" si="15"/>
        <v>0.57106686268138762</v>
      </c>
      <c r="O77">
        <f t="shared" si="16"/>
        <v>0.57979407912642877</v>
      </c>
      <c r="P77">
        <f t="shared" si="17"/>
        <v>0.57213819152565548</v>
      </c>
      <c r="Q77">
        <f t="shared" si="14"/>
        <v>0</v>
      </c>
    </row>
    <row r="78" spans="2:17" x14ac:dyDescent="0.2">
      <c r="B78">
        <v>0.40266273861100338</v>
      </c>
      <c r="C78">
        <v>2.1756858074113549E-2</v>
      </c>
      <c r="D78">
        <f t="shared" si="10"/>
        <v>0.38090588053688984</v>
      </c>
      <c r="E78">
        <f t="shared" si="11"/>
        <v>0.42441959668511692</v>
      </c>
      <c r="F78">
        <f t="shared" si="12"/>
        <v>0.2279197632781535</v>
      </c>
      <c r="G78">
        <f t="shared" si="13"/>
        <v>0</v>
      </c>
      <c r="L78">
        <v>0.57530763378722638</v>
      </c>
      <c r="M78">
        <v>4.5211924668851697E-3</v>
      </c>
      <c r="N78">
        <f t="shared" si="15"/>
        <v>0.57078644132034118</v>
      </c>
      <c r="O78">
        <f t="shared" si="16"/>
        <v>0.57982882625411158</v>
      </c>
      <c r="P78">
        <f t="shared" si="17"/>
        <v>0.57213819152565548</v>
      </c>
      <c r="Q78">
        <f t="shared" si="14"/>
        <v>0</v>
      </c>
    </row>
    <row r="79" spans="2:17" x14ac:dyDescent="0.2">
      <c r="B79">
        <v>0.35756349943901322</v>
      </c>
      <c r="C79">
        <v>2.174052856136708E-2</v>
      </c>
      <c r="D79">
        <f t="shared" si="10"/>
        <v>0.33582297087764612</v>
      </c>
      <c r="E79">
        <f t="shared" si="11"/>
        <v>0.37930402800038032</v>
      </c>
      <c r="F79">
        <f t="shared" si="12"/>
        <v>0.2279197632781535</v>
      </c>
      <c r="G79">
        <f t="shared" si="13"/>
        <v>0</v>
      </c>
      <c r="L79">
        <v>0.57416374668103443</v>
      </c>
      <c r="M79">
        <v>3.4768403087800251E-3</v>
      </c>
      <c r="N79">
        <f t="shared" si="15"/>
        <v>0.57068690637225439</v>
      </c>
      <c r="O79">
        <f t="shared" si="16"/>
        <v>0.57764058698981446</v>
      </c>
      <c r="P79">
        <f t="shared" si="17"/>
        <v>0.57213819152565548</v>
      </c>
      <c r="Q79">
        <f t="shared" si="14"/>
        <v>0</v>
      </c>
    </row>
    <row r="80" spans="2:17" x14ac:dyDescent="0.2">
      <c r="B80">
        <v>0.8006123698830433</v>
      </c>
      <c r="C80">
        <v>2.1071891910074959E-2</v>
      </c>
      <c r="D80">
        <f t="shared" si="10"/>
        <v>0.77954047797296833</v>
      </c>
      <c r="E80">
        <f t="shared" si="11"/>
        <v>0.82168426179311826</v>
      </c>
      <c r="F80">
        <f t="shared" si="12"/>
        <v>0.2279197632781535</v>
      </c>
      <c r="G80">
        <f t="shared" si="13"/>
        <v>0</v>
      </c>
      <c r="L80">
        <v>0.56876603187932173</v>
      </c>
      <c r="M80">
        <v>3.675476643343879E-3</v>
      </c>
      <c r="N80">
        <f t="shared" si="15"/>
        <v>0.56509055523597784</v>
      </c>
      <c r="O80">
        <f t="shared" si="16"/>
        <v>0.57244150852266562</v>
      </c>
      <c r="P80">
        <f t="shared" si="17"/>
        <v>0.56509055523597784</v>
      </c>
      <c r="Q80">
        <f t="shared" si="14"/>
        <v>1</v>
      </c>
    </row>
    <row r="81" spans="2:17" x14ac:dyDescent="0.2">
      <c r="B81">
        <v>0.50219311314351334</v>
      </c>
      <c r="C81">
        <v>2.0999593922924061E-2</v>
      </c>
      <c r="D81">
        <f t="shared" si="10"/>
        <v>0.48119351922058928</v>
      </c>
      <c r="E81">
        <f t="shared" si="11"/>
        <v>0.52319270706643739</v>
      </c>
      <c r="F81">
        <f t="shared" si="12"/>
        <v>0.2279197632781535</v>
      </c>
      <c r="G81">
        <f t="shared" si="13"/>
        <v>0</v>
      </c>
      <c r="L81">
        <v>0.56709068040631649</v>
      </c>
      <c r="M81">
        <v>5.1552723590308257E-3</v>
      </c>
      <c r="N81">
        <f t="shared" si="15"/>
        <v>0.5619354080472857</v>
      </c>
      <c r="O81">
        <f t="shared" si="16"/>
        <v>0.57224595276534729</v>
      </c>
      <c r="P81">
        <f t="shared" si="17"/>
        <v>0.56509055523597784</v>
      </c>
      <c r="Q81">
        <f t="shared" si="14"/>
        <v>0</v>
      </c>
    </row>
    <row r="82" spans="2:17" x14ac:dyDescent="0.2">
      <c r="B82">
        <v>0.42919323539179388</v>
      </c>
      <c r="C82">
        <v>2.0954857652002341E-2</v>
      </c>
      <c r="D82">
        <f t="shared" si="10"/>
        <v>0.40823837773979155</v>
      </c>
      <c r="E82">
        <f t="shared" si="11"/>
        <v>0.45014809304379622</v>
      </c>
      <c r="F82">
        <f t="shared" si="12"/>
        <v>0.2279197632781535</v>
      </c>
      <c r="G82">
        <f t="shared" si="13"/>
        <v>0</v>
      </c>
      <c r="L82">
        <v>0.56668748806397828</v>
      </c>
      <c r="M82">
        <v>4.4452682561833979E-3</v>
      </c>
      <c r="N82">
        <f t="shared" si="15"/>
        <v>0.56224221980779487</v>
      </c>
      <c r="O82">
        <f t="shared" si="16"/>
        <v>0.57113275632016169</v>
      </c>
      <c r="P82">
        <f t="shared" si="17"/>
        <v>0.56509055523597784</v>
      </c>
      <c r="Q82">
        <f t="shared" si="14"/>
        <v>0</v>
      </c>
    </row>
    <row r="83" spans="2:17" x14ac:dyDescent="0.2">
      <c r="B83">
        <v>0.55974094223797299</v>
      </c>
      <c r="C83">
        <v>2.0826000064980432E-2</v>
      </c>
      <c r="D83">
        <f t="shared" si="10"/>
        <v>0.53891494217299252</v>
      </c>
      <c r="E83">
        <f t="shared" si="11"/>
        <v>0.58056694230295347</v>
      </c>
      <c r="F83">
        <f t="shared" si="12"/>
        <v>0.2279197632781535</v>
      </c>
      <c r="G83">
        <f t="shared" si="13"/>
        <v>0</v>
      </c>
      <c r="L83">
        <v>0.56664250739446853</v>
      </c>
      <c r="M83">
        <v>5.7041708547224436E-3</v>
      </c>
      <c r="N83">
        <f t="shared" si="15"/>
        <v>0.56093833653974612</v>
      </c>
      <c r="O83">
        <f t="shared" si="16"/>
        <v>0.57234667824919094</v>
      </c>
      <c r="P83">
        <f t="shared" si="17"/>
        <v>0.56509055523597784</v>
      </c>
      <c r="Q83">
        <f t="shared" si="14"/>
        <v>0</v>
      </c>
    </row>
    <row r="84" spans="2:17" x14ac:dyDescent="0.2">
      <c r="B84">
        <v>0.6403201313967436</v>
      </c>
      <c r="C84">
        <v>2.0508951219114849E-2</v>
      </c>
      <c r="D84">
        <f t="shared" si="10"/>
        <v>0.61981118017762871</v>
      </c>
      <c r="E84">
        <f t="shared" si="11"/>
        <v>0.66082908261585849</v>
      </c>
      <c r="F84">
        <f t="shared" si="12"/>
        <v>0.2279197632781535</v>
      </c>
      <c r="G84">
        <f t="shared" si="13"/>
        <v>0</v>
      </c>
      <c r="L84">
        <v>0.55852320953099566</v>
      </c>
      <c r="M84">
        <v>1.1378822275583371E-2</v>
      </c>
      <c r="N84">
        <f t="shared" si="15"/>
        <v>0.54714438725541226</v>
      </c>
      <c r="O84">
        <f t="shared" si="16"/>
        <v>0.56990203180657906</v>
      </c>
      <c r="P84">
        <f t="shared" si="17"/>
        <v>0.54714438725541226</v>
      </c>
      <c r="Q84">
        <f t="shared" si="14"/>
        <v>1</v>
      </c>
    </row>
    <row r="85" spans="2:17" x14ac:dyDescent="0.2">
      <c r="B85">
        <v>0.51879691353610347</v>
      </c>
      <c r="C85">
        <v>2.008972535661974E-2</v>
      </c>
      <c r="D85">
        <f t="shared" si="10"/>
        <v>0.49870718817948373</v>
      </c>
      <c r="E85">
        <f t="shared" si="11"/>
        <v>0.53888663889272326</v>
      </c>
      <c r="F85">
        <f t="shared" si="12"/>
        <v>0.2279197632781535</v>
      </c>
      <c r="G85">
        <f t="shared" si="13"/>
        <v>0</v>
      </c>
      <c r="L85">
        <v>0.55740778332360708</v>
      </c>
      <c r="M85">
        <v>4.5110369876273987E-3</v>
      </c>
      <c r="N85">
        <f t="shared" si="15"/>
        <v>0.55289674633597963</v>
      </c>
      <c r="O85">
        <f t="shared" si="16"/>
        <v>0.56191882031123452</v>
      </c>
      <c r="P85">
        <f t="shared" si="17"/>
        <v>0.54714438725541226</v>
      </c>
      <c r="Q85">
        <f t="shared" si="14"/>
        <v>0</v>
      </c>
    </row>
    <row r="86" spans="2:17" x14ac:dyDescent="0.2">
      <c r="B86">
        <v>0.69596990353526222</v>
      </c>
      <c r="C86">
        <v>1.9891376971380541E-2</v>
      </c>
      <c r="D86">
        <f t="shared" si="10"/>
        <v>0.67607852656388168</v>
      </c>
      <c r="E86">
        <f t="shared" si="11"/>
        <v>0.71586128050664277</v>
      </c>
      <c r="F86">
        <f t="shared" si="12"/>
        <v>0.2279197632781535</v>
      </c>
      <c r="G86">
        <f t="shared" si="13"/>
        <v>0</v>
      </c>
      <c r="L86">
        <v>0.55643477779731154</v>
      </c>
      <c r="M86">
        <v>2.217291393649267E-3</v>
      </c>
      <c r="N86">
        <f t="shared" si="15"/>
        <v>0.55421748640366231</v>
      </c>
      <c r="O86">
        <f t="shared" si="16"/>
        <v>0.55865206919096078</v>
      </c>
      <c r="P86">
        <f t="shared" si="17"/>
        <v>0.54714438725541226</v>
      </c>
      <c r="Q86">
        <f t="shared" si="14"/>
        <v>0</v>
      </c>
    </row>
    <row r="87" spans="2:17" x14ac:dyDescent="0.2">
      <c r="B87">
        <v>0.28623510114465262</v>
      </c>
      <c r="C87">
        <v>1.983623309944647E-2</v>
      </c>
      <c r="D87">
        <f t="shared" si="10"/>
        <v>0.26639886804520613</v>
      </c>
      <c r="E87">
        <f t="shared" si="11"/>
        <v>0.3060713342440991</v>
      </c>
      <c r="F87">
        <f t="shared" si="12"/>
        <v>0.2279197632781535</v>
      </c>
      <c r="G87">
        <f t="shared" si="13"/>
        <v>0</v>
      </c>
      <c r="L87">
        <v>0.5542982037059212</v>
      </c>
      <c r="M87">
        <v>1.0547354311653699E-2</v>
      </c>
      <c r="N87">
        <f t="shared" si="15"/>
        <v>0.54375084939426754</v>
      </c>
      <c r="O87">
        <f t="shared" si="16"/>
        <v>0.56484555801757486</v>
      </c>
      <c r="P87">
        <f t="shared" si="17"/>
        <v>0.54714438725541226</v>
      </c>
      <c r="Q87">
        <f t="shared" si="14"/>
        <v>0</v>
      </c>
    </row>
    <row r="88" spans="2:17" x14ac:dyDescent="0.2">
      <c r="B88">
        <v>0.51617338544320057</v>
      </c>
      <c r="C88">
        <v>1.973387115321289E-2</v>
      </c>
      <c r="D88">
        <f t="shared" si="10"/>
        <v>0.49643951428998767</v>
      </c>
      <c r="E88">
        <f t="shared" si="11"/>
        <v>0.53590725659641347</v>
      </c>
      <c r="F88">
        <f t="shared" si="12"/>
        <v>0.2279197632781535</v>
      </c>
      <c r="G88">
        <f t="shared" si="13"/>
        <v>0</v>
      </c>
      <c r="L88">
        <v>0.55019158348179265</v>
      </c>
      <c r="M88">
        <v>1.4426317800383099E-2</v>
      </c>
      <c r="N88">
        <f t="shared" si="15"/>
        <v>0.53576526568140959</v>
      </c>
      <c r="O88">
        <f t="shared" si="16"/>
        <v>0.5646179012821757</v>
      </c>
      <c r="P88">
        <f t="shared" si="17"/>
        <v>0.54714438725541226</v>
      </c>
      <c r="Q88">
        <f t="shared" si="14"/>
        <v>0</v>
      </c>
    </row>
    <row r="89" spans="2:17" x14ac:dyDescent="0.2">
      <c r="B89">
        <v>0.61516241216400336</v>
      </c>
      <c r="C89">
        <v>1.9711639632541501E-2</v>
      </c>
      <c r="D89">
        <f t="shared" si="10"/>
        <v>0.59545077253146184</v>
      </c>
      <c r="E89">
        <f t="shared" si="11"/>
        <v>0.63487405179654488</v>
      </c>
      <c r="F89">
        <f t="shared" si="12"/>
        <v>0.2279197632781535</v>
      </c>
      <c r="G89">
        <f t="shared" si="13"/>
        <v>0</v>
      </c>
      <c r="L89">
        <v>0.55008564679703764</v>
      </c>
      <c r="M89">
        <v>5.8426504836833206E-4</v>
      </c>
      <c r="N89">
        <f t="shared" si="15"/>
        <v>0.54950138174866936</v>
      </c>
      <c r="O89">
        <f t="shared" si="16"/>
        <v>0.55066991184540592</v>
      </c>
      <c r="P89">
        <f t="shared" si="17"/>
        <v>0.54714438725541226</v>
      </c>
      <c r="Q89">
        <f t="shared" si="14"/>
        <v>0</v>
      </c>
    </row>
    <row r="90" spans="2:17" x14ac:dyDescent="0.2">
      <c r="B90">
        <v>0.41648088222923768</v>
      </c>
      <c r="C90">
        <v>1.9356047120482351E-2</v>
      </c>
      <c r="D90">
        <f t="shared" si="10"/>
        <v>0.39712483510875535</v>
      </c>
      <c r="E90">
        <f t="shared" si="11"/>
        <v>0.43583692934972001</v>
      </c>
      <c r="F90">
        <f t="shared" si="12"/>
        <v>0.2279197632781535</v>
      </c>
      <c r="G90">
        <f t="shared" si="13"/>
        <v>0</v>
      </c>
      <c r="L90">
        <v>0.54957423978481468</v>
      </c>
      <c r="M90">
        <v>1.7191590218186718E-2</v>
      </c>
      <c r="N90">
        <f t="shared" si="15"/>
        <v>0.53238264956662795</v>
      </c>
      <c r="O90">
        <f t="shared" si="16"/>
        <v>0.5667658300030014</v>
      </c>
      <c r="P90">
        <f t="shared" si="17"/>
        <v>0.54714438725541226</v>
      </c>
      <c r="Q90">
        <f t="shared" si="14"/>
        <v>0</v>
      </c>
    </row>
    <row r="91" spans="2:17" x14ac:dyDescent="0.2">
      <c r="B91">
        <v>0.65714837569503282</v>
      </c>
      <c r="C91">
        <v>1.9011686932792531E-2</v>
      </c>
      <c r="D91">
        <f t="shared" si="10"/>
        <v>0.63813668876224028</v>
      </c>
      <c r="E91">
        <f t="shared" si="11"/>
        <v>0.67616006262782535</v>
      </c>
      <c r="F91">
        <f t="shared" si="12"/>
        <v>0.2279197632781535</v>
      </c>
      <c r="G91">
        <f t="shared" si="13"/>
        <v>0</v>
      </c>
      <c r="L91">
        <v>0.54674039321791479</v>
      </c>
      <c r="M91">
        <v>7.9876469566824305E-3</v>
      </c>
      <c r="N91">
        <f t="shared" si="15"/>
        <v>0.53875274626123237</v>
      </c>
      <c r="O91">
        <f t="shared" si="16"/>
        <v>0.5547280401745972</v>
      </c>
      <c r="P91">
        <f t="shared" si="17"/>
        <v>0.53875274626123237</v>
      </c>
      <c r="Q91">
        <f t="shared" si="14"/>
        <v>1</v>
      </c>
    </row>
    <row r="92" spans="2:17" x14ac:dyDescent="0.2">
      <c r="B92">
        <v>0.63528158908340926</v>
      </c>
      <c r="C92">
        <v>1.9001075258906871E-2</v>
      </c>
      <c r="D92">
        <f t="shared" si="10"/>
        <v>0.61628051382450244</v>
      </c>
      <c r="E92">
        <f t="shared" si="11"/>
        <v>0.65428266434231608</v>
      </c>
      <c r="F92">
        <f t="shared" si="12"/>
        <v>0.2279197632781535</v>
      </c>
      <c r="G92">
        <f t="shared" si="13"/>
        <v>0</v>
      </c>
      <c r="L92">
        <v>0.54343500890418295</v>
      </c>
      <c r="M92">
        <v>1.110437647602935E-2</v>
      </c>
      <c r="N92">
        <f t="shared" si="15"/>
        <v>0.53233063242815359</v>
      </c>
      <c r="O92">
        <f t="shared" si="16"/>
        <v>0.5545393853802123</v>
      </c>
      <c r="P92">
        <f t="shared" si="17"/>
        <v>0.53875274626123237</v>
      </c>
      <c r="Q92">
        <f t="shared" si="14"/>
        <v>0</v>
      </c>
    </row>
    <row r="93" spans="2:17" x14ac:dyDescent="0.2">
      <c r="B93">
        <v>0.46823952256539558</v>
      </c>
      <c r="C93">
        <v>1.8800045979499851E-2</v>
      </c>
      <c r="D93">
        <f t="shared" si="10"/>
        <v>0.44943947658589573</v>
      </c>
      <c r="E93">
        <f t="shared" si="11"/>
        <v>0.48703956854489544</v>
      </c>
      <c r="F93">
        <f t="shared" si="12"/>
        <v>0.2279197632781535</v>
      </c>
      <c r="G93">
        <f t="shared" si="13"/>
        <v>0</v>
      </c>
      <c r="L93">
        <v>0.54152652413788871</v>
      </c>
      <c r="M93">
        <v>1.0012592683189109E-3</v>
      </c>
      <c r="N93">
        <f t="shared" si="15"/>
        <v>0.54052526486956975</v>
      </c>
      <c r="O93">
        <f t="shared" si="16"/>
        <v>0.54252778340620766</v>
      </c>
      <c r="P93">
        <f t="shared" si="17"/>
        <v>0.53875274626123237</v>
      </c>
      <c r="Q93">
        <f t="shared" si="14"/>
        <v>0</v>
      </c>
    </row>
    <row r="94" spans="2:17" x14ac:dyDescent="0.2">
      <c r="B94">
        <v>0.30462350202400651</v>
      </c>
      <c r="C94">
        <v>1.8752373116772272E-2</v>
      </c>
      <c r="D94">
        <f t="shared" si="10"/>
        <v>0.28587112890723426</v>
      </c>
      <c r="E94">
        <f t="shared" si="11"/>
        <v>0.32337587514077876</v>
      </c>
      <c r="F94">
        <f t="shared" si="12"/>
        <v>0.2279197632781535</v>
      </c>
      <c r="G94">
        <f t="shared" si="13"/>
        <v>0</v>
      </c>
      <c r="L94">
        <v>0.53130280669175689</v>
      </c>
      <c r="M94">
        <v>1.082459485920721E-2</v>
      </c>
      <c r="N94">
        <f t="shared" si="15"/>
        <v>0.52047821183254972</v>
      </c>
      <c r="O94">
        <f t="shared" si="16"/>
        <v>0.54212740155096406</v>
      </c>
      <c r="P94">
        <f t="shared" si="17"/>
        <v>0.52047821183254972</v>
      </c>
      <c r="Q94">
        <f t="shared" si="14"/>
        <v>1</v>
      </c>
    </row>
    <row r="95" spans="2:17" x14ac:dyDescent="0.2">
      <c r="B95">
        <v>0.70982063701817666</v>
      </c>
      <c r="C95">
        <v>1.8647182097790319E-2</v>
      </c>
      <c r="D95">
        <f t="shared" si="10"/>
        <v>0.69117345492038629</v>
      </c>
      <c r="E95">
        <f t="shared" si="11"/>
        <v>0.72846781911596703</v>
      </c>
      <c r="F95">
        <f t="shared" si="12"/>
        <v>0.2279197632781535</v>
      </c>
      <c r="G95">
        <f t="shared" si="13"/>
        <v>0</v>
      </c>
      <c r="L95">
        <v>0.52537446318020464</v>
      </c>
      <c r="M95">
        <v>7.6645624894044516E-3</v>
      </c>
      <c r="N95">
        <f t="shared" si="15"/>
        <v>0.51770990069080014</v>
      </c>
      <c r="O95">
        <f t="shared" si="16"/>
        <v>0.53303902566960915</v>
      </c>
      <c r="P95">
        <f t="shared" si="17"/>
        <v>0.52047821183254972</v>
      </c>
      <c r="Q95">
        <f t="shared" si="14"/>
        <v>0</v>
      </c>
    </row>
    <row r="96" spans="2:17" x14ac:dyDescent="0.2">
      <c r="B96">
        <v>0.38479944699847007</v>
      </c>
      <c r="C96">
        <v>1.861205107463319E-2</v>
      </c>
      <c r="D96">
        <f t="shared" si="10"/>
        <v>0.36618739592383687</v>
      </c>
      <c r="E96">
        <f t="shared" si="11"/>
        <v>0.40341149807310328</v>
      </c>
      <c r="F96">
        <f t="shared" si="12"/>
        <v>0.2279197632781535</v>
      </c>
      <c r="G96">
        <f t="shared" si="13"/>
        <v>0</v>
      </c>
      <c r="L96">
        <v>0.52443782631879821</v>
      </c>
      <c r="M96">
        <v>1.2647578465889301E-2</v>
      </c>
      <c r="N96">
        <f t="shared" si="15"/>
        <v>0.51179024785290894</v>
      </c>
      <c r="O96">
        <f t="shared" si="16"/>
        <v>0.53708540478468747</v>
      </c>
      <c r="P96">
        <f t="shared" si="17"/>
        <v>0.52047821183254972</v>
      </c>
      <c r="Q96">
        <f t="shared" si="14"/>
        <v>0</v>
      </c>
    </row>
    <row r="97" spans="2:17" x14ac:dyDescent="0.2">
      <c r="B97">
        <v>0.62437432797528725</v>
      </c>
      <c r="C97">
        <v>1.8611389843146049E-2</v>
      </c>
      <c r="D97">
        <f t="shared" si="10"/>
        <v>0.60576293813214122</v>
      </c>
      <c r="E97">
        <f t="shared" si="11"/>
        <v>0.64298571781843328</v>
      </c>
      <c r="F97">
        <f t="shared" si="12"/>
        <v>0.2279197632781535</v>
      </c>
      <c r="G97">
        <f t="shared" si="13"/>
        <v>0</v>
      </c>
      <c r="L97">
        <v>0.52304775436448891</v>
      </c>
      <c r="M97">
        <v>1.0548028526300379E-2</v>
      </c>
      <c r="N97">
        <f t="shared" si="15"/>
        <v>0.51249972583818848</v>
      </c>
      <c r="O97">
        <f t="shared" si="16"/>
        <v>0.53359578289078935</v>
      </c>
      <c r="P97">
        <f t="shared" si="17"/>
        <v>0.52047821183254972</v>
      </c>
      <c r="Q97">
        <f t="shared" si="14"/>
        <v>0</v>
      </c>
    </row>
    <row r="98" spans="2:17" x14ac:dyDescent="0.2">
      <c r="B98">
        <v>0.39481252147366219</v>
      </c>
      <c r="C98">
        <v>1.842754707235621E-2</v>
      </c>
      <c r="D98">
        <f t="shared" si="10"/>
        <v>0.37638497440130597</v>
      </c>
      <c r="E98">
        <f t="shared" si="11"/>
        <v>0.41324006854601841</v>
      </c>
      <c r="F98">
        <f t="shared" si="12"/>
        <v>0.2279197632781535</v>
      </c>
      <c r="G98">
        <f t="shared" si="13"/>
        <v>0</v>
      </c>
      <c r="L98">
        <v>0.52302924778985693</v>
      </c>
      <c r="M98">
        <v>3.2886241146487961E-3</v>
      </c>
      <c r="N98">
        <f t="shared" si="15"/>
        <v>0.51974062367520812</v>
      </c>
      <c r="O98">
        <f t="shared" si="16"/>
        <v>0.52631787190450574</v>
      </c>
      <c r="P98">
        <f t="shared" si="17"/>
        <v>0.52047821183254972</v>
      </c>
      <c r="Q98">
        <f t="shared" si="14"/>
        <v>0</v>
      </c>
    </row>
    <row r="99" spans="2:17" x14ac:dyDescent="0.2">
      <c r="B99">
        <v>0.71226230429648552</v>
      </c>
      <c r="C99">
        <v>1.8364956486012898E-2</v>
      </c>
      <c r="D99">
        <f t="shared" si="10"/>
        <v>0.69389734781047263</v>
      </c>
      <c r="E99">
        <f t="shared" si="11"/>
        <v>0.7306272607824984</v>
      </c>
      <c r="F99">
        <f t="shared" si="12"/>
        <v>0.2279197632781535</v>
      </c>
      <c r="G99">
        <f t="shared" si="13"/>
        <v>0</v>
      </c>
      <c r="L99">
        <v>0.52156112741798444</v>
      </c>
      <c r="M99">
        <v>1.784092842334572E-3</v>
      </c>
      <c r="N99">
        <f t="shared" si="15"/>
        <v>0.51977703457564983</v>
      </c>
      <c r="O99">
        <f t="shared" si="16"/>
        <v>0.52334522026031904</v>
      </c>
      <c r="P99">
        <f t="shared" si="17"/>
        <v>0.52047821183254972</v>
      </c>
      <c r="Q99">
        <f t="shared" si="14"/>
        <v>0</v>
      </c>
    </row>
    <row r="100" spans="2:17" x14ac:dyDescent="0.2">
      <c r="B100">
        <v>0.61304801318772928</v>
      </c>
      <c r="C100">
        <v>1.818278693797035E-2</v>
      </c>
      <c r="D100">
        <f t="shared" si="10"/>
        <v>0.5948652262497589</v>
      </c>
      <c r="E100">
        <f t="shared" si="11"/>
        <v>0.63123080012569965</v>
      </c>
      <c r="F100">
        <f t="shared" si="12"/>
        <v>0.2279197632781535</v>
      </c>
      <c r="G100">
        <f t="shared" si="13"/>
        <v>0</v>
      </c>
      <c r="L100">
        <v>0.52113947351589796</v>
      </c>
      <c r="M100">
        <v>4.4276436015314749E-4</v>
      </c>
      <c r="N100">
        <f t="shared" si="15"/>
        <v>0.52069670915574484</v>
      </c>
      <c r="O100">
        <f t="shared" si="16"/>
        <v>0.52158223787605107</v>
      </c>
      <c r="P100">
        <f t="shared" si="17"/>
        <v>0.52047821183254972</v>
      </c>
      <c r="Q100">
        <f t="shared" si="14"/>
        <v>0</v>
      </c>
    </row>
    <row r="101" spans="2:17" x14ac:dyDescent="0.2">
      <c r="B101">
        <v>0.25789135087492671</v>
      </c>
      <c r="C101">
        <v>1.8177135222527719E-2</v>
      </c>
      <c r="D101">
        <f t="shared" si="10"/>
        <v>0.23971421565239898</v>
      </c>
      <c r="E101">
        <f t="shared" si="11"/>
        <v>0.27606848609745444</v>
      </c>
      <c r="F101">
        <f t="shared" si="12"/>
        <v>0.2279197632781535</v>
      </c>
      <c r="G101">
        <f t="shared" si="13"/>
        <v>0</v>
      </c>
      <c r="L101">
        <v>0.52041210263887039</v>
      </c>
      <c r="M101">
        <v>9.4266062615136134E-3</v>
      </c>
      <c r="N101">
        <f t="shared" si="15"/>
        <v>0.5109854963773568</v>
      </c>
      <c r="O101">
        <f t="shared" si="16"/>
        <v>0.52983870890038398</v>
      </c>
      <c r="P101">
        <f t="shared" si="17"/>
        <v>0.5109854963773568</v>
      </c>
      <c r="Q101">
        <f t="shared" si="14"/>
        <v>1</v>
      </c>
    </row>
    <row r="102" spans="2:17" x14ac:dyDescent="0.2">
      <c r="B102">
        <v>0.59783363606312978</v>
      </c>
      <c r="C102">
        <v>1.8042976603181979E-2</v>
      </c>
      <c r="D102">
        <f t="shared" si="10"/>
        <v>0.57979065945994779</v>
      </c>
      <c r="E102">
        <f t="shared" si="11"/>
        <v>0.61587661266631177</v>
      </c>
      <c r="F102">
        <f t="shared" si="12"/>
        <v>0.2279197632781535</v>
      </c>
      <c r="G102">
        <f t="shared" si="13"/>
        <v>0</v>
      </c>
      <c r="L102">
        <v>0.51851755897715401</v>
      </c>
      <c r="M102">
        <v>4.6622578129600313E-3</v>
      </c>
      <c r="N102">
        <f t="shared" si="15"/>
        <v>0.51385530116419398</v>
      </c>
      <c r="O102">
        <f t="shared" si="16"/>
        <v>0.52317981679011405</v>
      </c>
      <c r="P102">
        <f t="shared" si="17"/>
        <v>0.5109854963773568</v>
      </c>
      <c r="Q102">
        <f t="shared" si="14"/>
        <v>0</v>
      </c>
    </row>
    <row r="103" spans="2:17" x14ac:dyDescent="0.2">
      <c r="B103">
        <v>0.16134567490005369</v>
      </c>
      <c r="C103">
        <v>1.7885523533009779E-2</v>
      </c>
      <c r="D103">
        <f t="shared" si="10"/>
        <v>0.1434601513670439</v>
      </c>
      <c r="E103">
        <f t="shared" si="11"/>
        <v>0.17923119843306348</v>
      </c>
      <c r="F103">
        <f t="shared" si="12"/>
        <v>0.1434601513670439</v>
      </c>
      <c r="G103">
        <f t="shared" si="13"/>
        <v>1</v>
      </c>
      <c r="L103">
        <v>0.51752629030030484</v>
      </c>
      <c r="M103">
        <v>4.6090906849450084E-3</v>
      </c>
      <c r="N103">
        <f t="shared" si="15"/>
        <v>0.51291719961535986</v>
      </c>
      <c r="O103">
        <f t="shared" si="16"/>
        <v>0.52213538098524981</v>
      </c>
      <c r="P103">
        <f t="shared" si="17"/>
        <v>0.5109854963773568</v>
      </c>
      <c r="Q103">
        <f t="shared" si="14"/>
        <v>0</v>
      </c>
    </row>
    <row r="104" spans="2:17" x14ac:dyDescent="0.2">
      <c r="B104">
        <v>0.24079649550767129</v>
      </c>
      <c r="C104">
        <v>1.752340028688552E-2</v>
      </c>
      <c r="D104">
        <f t="shared" si="10"/>
        <v>0.22327309522078578</v>
      </c>
      <c r="E104">
        <f t="shared" si="11"/>
        <v>0.25831989579455683</v>
      </c>
      <c r="F104">
        <f t="shared" si="12"/>
        <v>0.1434601513670439</v>
      </c>
      <c r="G104">
        <f t="shared" si="13"/>
        <v>0</v>
      </c>
      <c r="L104">
        <v>0.51617338544320057</v>
      </c>
      <c r="M104">
        <v>1.973387115321289E-2</v>
      </c>
      <c r="N104">
        <f t="shared" si="15"/>
        <v>0.49643951428998767</v>
      </c>
      <c r="O104">
        <f t="shared" si="16"/>
        <v>0.53590725659641347</v>
      </c>
      <c r="P104">
        <f t="shared" si="17"/>
        <v>0.5109854963773568</v>
      </c>
      <c r="Q104">
        <f t="shared" si="14"/>
        <v>0</v>
      </c>
    </row>
    <row r="105" spans="2:17" x14ac:dyDescent="0.2">
      <c r="B105">
        <v>0.54957423978481468</v>
      </c>
      <c r="C105">
        <v>1.7191590218186718E-2</v>
      </c>
      <c r="D105">
        <f t="shared" si="10"/>
        <v>0.53238264956662795</v>
      </c>
      <c r="E105">
        <f t="shared" si="11"/>
        <v>0.5667658300030014</v>
      </c>
      <c r="F105">
        <f t="shared" si="12"/>
        <v>0.1434601513670439</v>
      </c>
      <c r="G105">
        <f t="shared" si="13"/>
        <v>0</v>
      </c>
      <c r="L105">
        <v>0.51609880928158169</v>
      </c>
      <c r="M105">
        <v>9.6892921738277182E-3</v>
      </c>
      <c r="N105">
        <f t="shared" si="15"/>
        <v>0.50640951710775395</v>
      </c>
      <c r="O105">
        <f t="shared" si="16"/>
        <v>0.52578810145540944</v>
      </c>
      <c r="P105">
        <f t="shared" si="17"/>
        <v>0.5109854963773568</v>
      </c>
      <c r="Q105">
        <f t="shared" si="14"/>
        <v>0</v>
      </c>
    </row>
    <row r="106" spans="2:17" x14ac:dyDescent="0.2">
      <c r="B106">
        <v>0.67856991381526321</v>
      </c>
      <c r="C106">
        <v>1.7024806801462612E-2</v>
      </c>
      <c r="D106">
        <f t="shared" si="10"/>
        <v>0.66154510701380065</v>
      </c>
      <c r="E106">
        <f t="shared" si="11"/>
        <v>0.69559472061672578</v>
      </c>
      <c r="F106">
        <f t="shared" si="12"/>
        <v>0.1434601513670439</v>
      </c>
      <c r="G106">
        <f t="shared" si="13"/>
        <v>0</v>
      </c>
      <c r="L106">
        <v>0.51120440056753791</v>
      </c>
      <c r="M106">
        <v>1.268026751280985E-2</v>
      </c>
      <c r="N106">
        <f t="shared" si="15"/>
        <v>0.49852413305472804</v>
      </c>
      <c r="O106">
        <f t="shared" si="16"/>
        <v>0.52388466808034773</v>
      </c>
      <c r="P106">
        <f t="shared" si="17"/>
        <v>0.5109854963773568</v>
      </c>
      <c r="Q106">
        <f t="shared" si="14"/>
        <v>0</v>
      </c>
    </row>
    <row r="107" spans="2:17" x14ac:dyDescent="0.2">
      <c r="B107">
        <v>0.37695151139042921</v>
      </c>
      <c r="C107">
        <v>1.69596309473302E-2</v>
      </c>
      <c r="D107">
        <f t="shared" si="10"/>
        <v>0.35999188044309899</v>
      </c>
      <c r="E107">
        <f t="shared" si="11"/>
        <v>0.39391114233775942</v>
      </c>
      <c r="F107">
        <f t="shared" si="12"/>
        <v>0.1434601513670439</v>
      </c>
      <c r="G107">
        <f t="shared" si="13"/>
        <v>0</v>
      </c>
      <c r="L107">
        <v>0.51112711556377022</v>
      </c>
      <c r="M107">
        <v>9.9003637157663894E-3</v>
      </c>
      <c r="N107">
        <f t="shared" si="15"/>
        <v>0.5012267518480038</v>
      </c>
      <c r="O107">
        <f t="shared" si="16"/>
        <v>0.52102747927953663</v>
      </c>
      <c r="P107">
        <f t="shared" si="17"/>
        <v>0.5109854963773568</v>
      </c>
      <c r="Q107">
        <f t="shared" si="14"/>
        <v>0</v>
      </c>
    </row>
    <row r="108" spans="2:17" x14ac:dyDescent="0.2">
      <c r="B108">
        <v>0.39241641573316199</v>
      </c>
      <c r="C108">
        <v>1.691342001550105E-2</v>
      </c>
      <c r="D108">
        <f t="shared" si="10"/>
        <v>0.37550299571766094</v>
      </c>
      <c r="E108">
        <f t="shared" si="11"/>
        <v>0.40932983574866305</v>
      </c>
      <c r="F108">
        <f t="shared" si="12"/>
        <v>0.1434601513670439</v>
      </c>
      <c r="G108">
        <f t="shared" si="13"/>
        <v>0</v>
      </c>
      <c r="L108">
        <v>0.50884043407504731</v>
      </c>
      <c r="M108">
        <v>7.9913216928039314E-3</v>
      </c>
      <c r="N108">
        <f t="shared" si="15"/>
        <v>0.50084911238224339</v>
      </c>
      <c r="O108">
        <f t="shared" si="16"/>
        <v>0.51683175576785123</v>
      </c>
      <c r="P108">
        <f t="shared" si="17"/>
        <v>0.50084911238224339</v>
      </c>
      <c r="Q108">
        <f t="shared" si="14"/>
        <v>1</v>
      </c>
    </row>
    <row r="109" spans="2:17" x14ac:dyDescent="0.2">
      <c r="B109">
        <v>0.70517928972271748</v>
      </c>
      <c r="C109">
        <v>1.6749806865949901E-2</v>
      </c>
      <c r="D109">
        <f t="shared" si="10"/>
        <v>0.68842948285676764</v>
      </c>
      <c r="E109">
        <f t="shared" si="11"/>
        <v>0.72192909658866733</v>
      </c>
      <c r="F109">
        <f t="shared" si="12"/>
        <v>0.1434601513670439</v>
      </c>
      <c r="G109">
        <f t="shared" si="13"/>
        <v>0</v>
      </c>
      <c r="L109">
        <v>0.5069275588793426</v>
      </c>
      <c r="M109">
        <v>6.6612852950861407E-3</v>
      </c>
      <c r="N109">
        <f t="shared" si="15"/>
        <v>0.50026627358425646</v>
      </c>
      <c r="O109">
        <f t="shared" si="16"/>
        <v>0.51358884417442874</v>
      </c>
      <c r="P109">
        <f t="shared" si="17"/>
        <v>0.50084911238224339</v>
      </c>
      <c r="Q109">
        <f t="shared" si="14"/>
        <v>0</v>
      </c>
    </row>
    <row r="110" spans="2:17" x14ac:dyDescent="0.2">
      <c r="B110">
        <v>0.76205001072318856</v>
      </c>
      <c r="C110">
        <v>1.673274890556356E-2</v>
      </c>
      <c r="D110">
        <f t="shared" si="10"/>
        <v>0.74531726181762503</v>
      </c>
      <c r="E110">
        <f t="shared" si="11"/>
        <v>0.7787827596287521</v>
      </c>
      <c r="F110">
        <f t="shared" si="12"/>
        <v>0.1434601513670439</v>
      </c>
      <c r="G110">
        <f t="shared" si="13"/>
        <v>0</v>
      </c>
      <c r="L110">
        <v>0.50426770864142212</v>
      </c>
      <c r="M110">
        <v>2.036184534790964E-3</v>
      </c>
      <c r="N110">
        <f t="shared" si="15"/>
        <v>0.50223152410663119</v>
      </c>
      <c r="O110">
        <f t="shared" si="16"/>
        <v>0.50630389317621305</v>
      </c>
      <c r="P110">
        <f t="shared" si="17"/>
        <v>0.50084911238224339</v>
      </c>
      <c r="Q110">
        <f t="shared" si="14"/>
        <v>0</v>
      </c>
    </row>
    <row r="111" spans="2:17" x14ac:dyDescent="0.2">
      <c r="B111">
        <v>0.78305831835210871</v>
      </c>
      <c r="C111">
        <v>1.6615342661960391E-2</v>
      </c>
      <c r="D111">
        <f t="shared" si="10"/>
        <v>0.7664429756901483</v>
      </c>
      <c r="E111">
        <f t="shared" si="11"/>
        <v>0.79967366101406911</v>
      </c>
      <c r="F111">
        <f t="shared" si="12"/>
        <v>0.1434601513670439</v>
      </c>
      <c r="G111">
        <f t="shared" si="13"/>
        <v>0</v>
      </c>
      <c r="L111">
        <v>0.50224020371841638</v>
      </c>
      <c r="M111">
        <v>4.8001454944511879E-3</v>
      </c>
      <c r="N111">
        <f t="shared" si="15"/>
        <v>0.4974400582239652</v>
      </c>
      <c r="O111">
        <f t="shared" si="16"/>
        <v>0.50704034921286756</v>
      </c>
      <c r="P111">
        <f t="shared" si="17"/>
        <v>0.50084911238224339</v>
      </c>
      <c r="Q111">
        <f t="shared" si="14"/>
        <v>0</v>
      </c>
    </row>
    <row r="112" spans="2:17" x14ac:dyDescent="0.2">
      <c r="B112">
        <v>0.75422542448834473</v>
      </c>
      <c r="C112">
        <v>1.6483084154857709E-2</v>
      </c>
      <c r="D112">
        <f t="shared" si="10"/>
        <v>0.73774234033348707</v>
      </c>
      <c r="E112">
        <f t="shared" si="11"/>
        <v>0.77070850864320239</v>
      </c>
      <c r="F112">
        <f t="shared" si="12"/>
        <v>0.1434601513670439</v>
      </c>
      <c r="G112">
        <f t="shared" si="13"/>
        <v>0</v>
      </c>
      <c r="L112">
        <v>0.49797023230172022</v>
      </c>
      <c r="M112">
        <v>1.5172200397242661E-3</v>
      </c>
      <c r="N112">
        <f t="shared" si="15"/>
        <v>0.49645301226199595</v>
      </c>
      <c r="O112">
        <f t="shared" si="16"/>
        <v>0.49948745234144448</v>
      </c>
      <c r="P112">
        <f t="shared" si="17"/>
        <v>0.49645301226199595</v>
      </c>
      <c r="Q112">
        <f t="shared" si="14"/>
        <v>1</v>
      </c>
    </row>
    <row r="113" spans="2:17" x14ac:dyDescent="0.2">
      <c r="B113">
        <v>0.63273350202314915</v>
      </c>
      <c r="C113">
        <v>1.596238906689508E-2</v>
      </c>
      <c r="D113">
        <f t="shared" si="10"/>
        <v>0.61677111295625409</v>
      </c>
      <c r="E113">
        <f t="shared" si="11"/>
        <v>0.64869589109004422</v>
      </c>
      <c r="F113">
        <f t="shared" si="12"/>
        <v>0.1434601513670439</v>
      </c>
      <c r="G113">
        <f t="shared" si="13"/>
        <v>0</v>
      </c>
      <c r="L113">
        <v>0.49386515953610299</v>
      </c>
      <c r="M113">
        <v>3.6606054444857259E-3</v>
      </c>
      <c r="N113">
        <f t="shared" si="15"/>
        <v>0.49020455409161728</v>
      </c>
      <c r="O113">
        <f t="shared" si="16"/>
        <v>0.4975257649805887</v>
      </c>
      <c r="P113">
        <f t="shared" si="17"/>
        <v>0.49020455409161728</v>
      </c>
      <c r="Q113">
        <f t="shared" si="14"/>
        <v>1</v>
      </c>
    </row>
    <row r="114" spans="2:17" x14ac:dyDescent="0.2">
      <c r="B114">
        <v>0.44306396493933892</v>
      </c>
      <c r="C114">
        <v>1.587349930252108E-2</v>
      </c>
      <c r="D114">
        <f t="shared" si="10"/>
        <v>0.42719046563681784</v>
      </c>
      <c r="E114">
        <f t="shared" si="11"/>
        <v>0.45893746424185999</v>
      </c>
      <c r="F114">
        <f t="shared" si="12"/>
        <v>0.1434601513670439</v>
      </c>
      <c r="G114">
        <f t="shared" si="13"/>
        <v>0</v>
      </c>
      <c r="L114">
        <v>0.49347407392068898</v>
      </c>
      <c r="M114">
        <v>1.521925594576529E-2</v>
      </c>
      <c r="N114">
        <f t="shared" si="15"/>
        <v>0.4782548179749237</v>
      </c>
      <c r="O114">
        <f t="shared" si="16"/>
        <v>0.50869332986645432</v>
      </c>
      <c r="P114">
        <f t="shared" si="17"/>
        <v>0.49020455409161728</v>
      </c>
      <c r="Q114">
        <f t="shared" si="14"/>
        <v>0</v>
      </c>
    </row>
    <row r="115" spans="2:17" x14ac:dyDescent="0.2">
      <c r="B115">
        <v>0.48625530067683181</v>
      </c>
      <c r="C115">
        <v>1.5687190190832478E-2</v>
      </c>
      <c r="D115">
        <f t="shared" si="10"/>
        <v>0.47056811048599934</v>
      </c>
      <c r="E115">
        <f t="shared" si="11"/>
        <v>0.50194249086766429</v>
      </c>
      <c r="F115">
        <f t="shared" si="12"/>
        <v>0.1434601513670439</v>
      </c>
      <c r="G115">
        <f t="shared" si="13"/>
        <v>0</v>
      </c>
      <c r="L115">
        <v>0.49290239797995372</v>
      </c>
      <c r="M115">
        <v>7.5193766450612504E-3</v>
      </c>
      <c r="N115">
        <f t="shared" si="15"/>
        <v>0.48538302133489247</v>
      </c>
      <c r="O115">
        <f t="shared" si="16"/>
        <v>0.50042177462501503</v>
      </c>
      <c r="P115">
        <f t="shared" si="17"/>
        <v>0.49020455409161728</v>
      </c>
      <c r="Q115">
        <f t="shared" si="14"/>
        <v>0</v>
      </c>
    </row>
    <row r="116" spans="2:17" x14ac:dyDescent="0.2">
      <c r="B116">
        <v>0.37299087639744272</v>
      </c>
      <c r="C116">
        <v>1.5464271200114829E-2</v>
      </c>
      <c r="D116">
        <f t="shared" si="10"/>
        <v>0.35752660519732787</v>
      </c>
      <c r="E116">
        <f t="shared" si="11"/>
        <v>0.38845514759755756</v>
      </c>
      <c r="F116">
        <f t="shared" si="12"/>
        <v>0.1434601513670439</v>
      </c>
      <c r="G116">
        <f t="shared" si="13"/>
        <v>0</v>
      </c>
      <c r="L116">
        <v>0.48833074579750868</v>
      </c>
      <c r="M116">
        <v>1.294272130234661E-2</v>
      </c>
      <c r="N116">
        <f t="shared" si="15"/>
        <v>0.47538802449516204</v>
      </c>
      <c r="O116">
        <f t="shared" si="16"/>
        <v>0.50127346709985532</v>
      </c>
      <c r="P116">
        <f t="shared" si="17"/>
        <v>0.47538802449516204</v>
      </c>
      <c r="Q116">
        <f t="shared" si="14"/>
        <v>1</v>
      </c>
    </row>
    <row r="117" spans="2:17" x14ac:dyDescent="0.2">
      <c r="B117">
        <v>0.79328377247140092</v>
      </c>
      <c r="C117">
        <v>1.5457630803294761E-2</v>
      </c>
      <c r="D117">
        <f t="shared" si="10"/>
        <v>0.77782614166810615</v>
      </c>
      <c r="E117">
        <f t="shared" si="11"/>
        <v>0.80874140327469568</v>
      </c>
      <c r="F117">
        <f t="shared" si="12"/>
        <v>0.1434601513670439</v>
      </c>
      <c r="G117">
        <f t="shared" si="13"/>
        <v>0</v>
      </c>
      <c r="L117">
        <v>0.48816324580052972</v>
      </c>
      <c r="M117">
        <v>8.6987900905289503E-3</v>
      </c>
      <c r="N117">
        <f t="shared" si="15"/>
        <v>0.47946445571000079</v>
      </c>
      <c r="O117">
        <f t="shared" si="16"/>
        <v>0.49686203589105865</v>
      </c>
      <c r="P117">
        <f t="shared" si="17"/>
        <v>0.47538802449516204</v>
      </c>
      <c r="Q117">
        <f t="shared" si="14"/>
        <v>0</v>
      </c>
    </row>
    <row r="118" spans="2:17" x14ac:dyDescent="0.2">
      <c r="B118">
        <v>0.73468166680242442</v>
      </c>
      <c r="C118">
        <v>1.545054726564961E-2</v>
      </c>
      <c r="D118">
        <f t="shared" si="10"/>
        <v>0.71923111953677477</v>
      </c>
      <c r="E118">
        <f t="shared" si="11"/>
        <v>0.75013221406807407</v>
      </c>
      <c r="F118">
        <f t="shared" si="12"/>
        <v>0.1434601513670439</v>
      </c>
      <c r="G118">
        <f t="shared" si="13"/>
        <v>0</v>
      </c>
      <c r="L118">
        <v>0.48625530067683181</v>
      </c>
      <c r="M118">
        <v>1.5687190190832478E-2</v>
      </c>
      <c r="N118">
        <f t="shared" si="15"/>
        <v>0.47056811048599934</v>
      </c>
      <c r="O118">
        <f t="shared" si="16"/>
        <v>0.50194249086766429</v>
      </c>
      <c r="P118">
        <f t="shared" si="17"/>
        <v>0.47538802449516204</v>
      </c>
      <c r="Q118">
        <f t="shared" si="14"/>
        <v>0</v>
      </c>
    </row>
    <row r="119" spans="2:17" x14ac:dyDescent="0.2">
      <c r="B119">
        <v>0.49347407392068898</v>
      </c>
      <c r="C119">
        <v>1.521925594576529E-2</v>
      </c>
      <c r="D119">
        <f t="shared" si="10"/>
        <v>0.4782548179749237</v>
      </c>
      <c r="E119">
        <f t="shared" si="11"/>
        <v>0.50869332986645432</v>
      </c>
      <c r="F119">
        <f t="shared" si="12"/>
        <v>0.1434601513670439</v>
      </c>
      <c r="G119">
        <f t="shared" si="13"/>
        <v>0</v>
      </c>
      <c r="L119">
        <v>0.48164578642127798</v>
      </c>
      <c r="M119">
        <v>1.113608703623724E-2</v>
      </c>
      <c r="N119">
        <f t="shared" si="15"/>
        <v>0.47050969938504072</v>
      </c>
      <c r="O119">
        <f t="shared" si="16"/>
        <v>0.49278187345751523</v>
      </c>
      <c r="P119">
        <f t="shared" si="17"/>
        <v>0.47538802449516204</v>
      </c>
      <c r="Q119">
        <f t="shared" si="14"/>
        <v>0</v>
      </c>
    </row>
    <row r="120" spans="2:17" x14ac:dyDescent="0.2">
      <c r="B120">
        <v>0.63780329791790891</v>
      </c>
      <c r="C120">
        <v>1.506848913820889E-2</v>
      </c>
      <c r="D120">
        <f t="shared" si="10"/>
        <v>0.6227348087797</v>
      </c>
      <c r="E120">
        <f t="shared" si="11"/>
        <v>0.65287178705611781</v>
      </c>
      <c r="F120">
        <f t="shared" si="12"/>
        <v>0.1434601513670439</v>
      </c>
      <c r="G120">
        <f t="shared" si="13"/>
        <v>0</v>
      </c>
      <c r="L120">
        <v>0.47977594970724841</v>
      </c>
      <c r="M120">
        <v>1.258393900823975E-2</v>
      </c>
      <c r="N120">
        <f t="shared" si="15"/>
        <v>0.46719201069900868</v>
      </c>
      <c r="O120">
        <f t="shared" si="16"/>
        <v>0.49235988871548814</v>
      </c>
      <c r="P120">
        <f t="shared" si="17"/>
        <v>0.47538802449516204</v>
      </c>
      <c r="Q120">
        <f t="shared" si="14"/>
        <v>0</v>
      </c>
    </row>
    <row r="121" spans="2:17" x14ac:dyDescent="0.2">
      <c r="B121">
        <v>0.62418955267529463</v>
      </c>
      <c r="C121">
        <v>1.5042595441486161E-2</v>
      </c>
      <c r="D121">
        <f t="shared" si="10"/>
        <v>0.60914695723380852</v>
      </c>
      <c r="E121">
        <f t="shared" si="11"/>
        <v>0.63923214811678075</v>
      </c>
      <c r="F121">
        <f t="shared" si="12"/>
        <v>0.1434601513670439</v>
      </c>
      <c r="G121">
        <f t="shared" si="13"/>
        <v>0</v>
      </c>
      <c r="L121">
        <v>0.47803306489143249</v>
      </c>
      <c r="M121">
        <v>5.7174241468143519E-3</v>
      </c>
      <c r="N121">
        <f t="shared" si="15"/>
        <v>0.47231564074461813</v>
      </c>
      <c r="O121">
        <f t="shared" si="16"/>
        <v>0.48375048903824686</v>
      </c>
      <c r="P121">
        <f t="shared" si="17"/>
        <v>0.47538802449516204</v>
      </c>
      <c r="Q121">
        <f t="shared" si="14"/>
        <v>0</v>
      </c>
    </row>
    <row r="122" spans="2:17" x14ac:dyDescent="0.2">
      <c r="B122">
        <v>0.15566755708845659</v>
      </c>
      <c r="C122">
        <v>1.4879915179845561E-2</v>
      </c>
      <c r="D122">
        <f t="shared" si="10"/>
        <v>0.14078764190861104</v>
      </c>
      <c r="E122">
        <f t="shared" si="11"/>
        <v>0.17054747226830214</v>
      </c>
      <c r="F122">
        <f t="shared" si="12"/>
        <v>0.1434601513670439</v>
      </c>
      <c r="G122">
        <f t="shared" si="13"/>
        <v>0</v>
      </c>
      <c r="L122">
        <v>0.47688878290500009</v>
      </c>
      <c r="M122">
        <v>8.0344778856528097E-3</v>
      </c>
      <c r="N122">
        <f t="shared" si="15"/>
        <v>0.46885430501934727</v>
      </c>
      <c r="O122">
        <f t="shared" si="16"/>
        <v>0.4849232607906529</v>
      </c>
      <c r="P122">
        <f t="shared" si="17"/>
        <v>0.47538802449516204</v>
      </c>
      <c r="Q122">
        <f t="shared" si="14"/>
        <v>0</v>
      </c>
    </row>
    <row r="123" spans="2:17" x14ac:dyDescent="0.2">
      <c r="B123">
        <v>0.59592276002590816</v>
      </c>
      <c r="C123">
        <v>1.4773616102523609E-2</v>
      </c>
      <c r="D123">
        <f t="shared" si="10"/>
        <v>0.58114914392338457</v>
      </c>
      <c r="E123">
        <f t="shared" si="11"/>
        <v>0.61069637612843175</v>
      </c>
      <c r="F123">
        <f t="shared" si="12"/>
        <v>0.1434601513670439</v>
      </c>
      <c r="G123">
        <f t="shared" si="13"/>
        <v>0</v>
      </c>
      <c r="L123">
        <v>0.47634224502734213</v>
      </c>
      <c r="M123">
        <v>4.6185748684066828E-3</v>
      </c>
      <c r="N123">
        <f t="shared" si="15"/>
        <v>0.47172367015893546</v>
      </c>
      <c r="O123">
        <f t="shared" si="16"/>
        <v>0.48096081989574879</v>
      </c>
      <c r="P123">
        <f t="shared" si="17"/>
        <v>0.47538802449516204</v>
      </c>
      <c r="Q123">
        <f t="shared" si="14"/>
        <v>0</v>
      </c>
    </row>
    <row r="124" spans="2:17" x14ac:dyDescent="0.2">
      <c r="B124">
        <v>0.55019158348179265</v>
      </c>
      <c r="C124">
        <v>1.4426317800383099E-2</v>
      </c>
      <c r="D124">
        <f t="shared" si="10"/>
        <v>0.53576526568140959</v>
      </c>
      <c r="E124">
        <f t="shared" si="11"/>
        <v>0.5646179012821757</v>
      </c>
      <c r="F124">
        <f t="shared" si="12"/>
        <v>0.1434601513670439</v>
      </c>
      <c r="G124">
        <f t="shared" si="13"/>
        <v>0</v>
      </c>
      <c r="L124">
        <v>0.47544196233058977</v>
      </c>
      <c r="M124">
        <v>4.549722821809263E-3</v>
      </c>
      <c r="N124">
        <f t="shared" si="15"/>
        <v>0.47089223950878051</v>
      </c>
      <c r="O124">
        <f t="shared" si="16"/>
        <v>0.47999168515239904</v>
      </c>
      <c r="P124">
        <f t="shared" si="17"/>
        <v>0.47538802449516204</v>
      </c>
      <c r="Q124">
        <f t="shared" si="14"/>
        <v>0</v>
      </c>
    </row>
    <row r="125" spans="2:17" x14ac:dyDescent="0.2">
      <c r="B125">
        <v>0.42899180896383587</v>
      </c>
      <c r="C125">
        <v>1.434613613419675E-2</v>
      </c>
      <c r="D125">
        <f t="shared" si="10"/>
        <v>0.4146456728296391</v>
      </c>
      <c r="E125">
        <f t="shared" si="11"/>
        <v>0.44333794509803265</v>
      </c>
      <c r="F125">
        <f t="shared" si="12"/>
        <v>0.1434601513670439</v>
      </c>
      <c r="G125">
        <f t="shared" si="13"/>
        <v>0</v>
      </c>
      <c r="L125">
        <v>0.46823952256539558</v>
      </c>
      <c r="M125">
        <v>1.8800045979499851E-2</v>
      </c>
      <c r="N125">
        <f t="shared" si="15"/>
        <v>0.44943947658589573</v>
      </c>
      <c r="O125">
        <f t="shared" si="16"/>
        <v>0.48703956854489544</v>
      </c>
      <c r="P125">
        <f t="shared" si="17"/>
        <v>0.44943947658589573</v>
      </c>
      <c r="Q125">
        <f t="shared" si="14"/>
        <v>1</v>
      </c>
    </row>
    <row r="126" spans="2:17" x14ac:dyDescent="0.2">
      <c r="B126">
        <v>0.66047464906016184</v>
      </c>
      <c r="C126">
        <v>1.43344168732317E-2</v>
      </c>
      <c r="D126">
        <f t="shared" si="10"/>
        <v>0.64614023218693017</v>
      </c>
      <c r="E126">
        <f t="shared" si="11"/>
        <v>0.67480906593339351</v>
      </c>
      <c r="F126">
        <f t="shared" si="12"/>
        <v>0.1434601513670439</v>
      </c>
      <c r="G126">
        <f t="shared" si="13"/>
        <v>0</v>
      </c>
      <c r="L126">
        <v>0.46638163584106163</v>
      </c>
      <c r="M126">
        <v>8.627212189699144E-3</v>
      </c>
      <c r="N126">
        <f t="shared" si="15"/>
        <v>0.45775442365136249</v>
      </c>
      <c r="O126">
        <f t="shared" si="16"/>
        <v>0.47500884803076077</v>
      </c>
      <c r="P126">
        <f t="shared" si="17"/>
        <v>0.44943947658589573</v>
      </c>
      <c r="Q126">
        <f t="shared" si="14"/>
        <v>0</v>
      </c>
    </row>
    <row r="127" spans="2:17" x14ac:dyDescent="0.2">
      <c r="B127">
        <v>0.27311003195332723</v>
      </c>
      <c r="C127">
        <v>1.42262375708025E-2</v>
      </c>
      <c r="D127">
        <f t="shared" si="10"/>
        <v>0.25888379438252473</v>
      </c>
      <c r="E127">
        <f t="shared" si="11"/>
        <v>0.28733626952412972</v>
      </c>
      <c r="F127">
        <f t="shared" si="12"/>
        <v>0.1434601513670439</v>
      </c>
      <c r="G127">
        <f t="shared" si="13"/>
        <v>0</v>
      </c>
      <c r="L127">
        <v>0.46615780343952212</v>
      </c>
      <c r="M127">
        <v>1.3037028380568001E-3</v>
      </c>
      <c r="N127">
        <f t="shared" si="15"/>
        <v>0.46485410060146531</v>
      </c>
      <c r="O127">
        <f t="shared" si="16"/>
        <v>0.46746150627757893</v>
      </c>
      <c r="P127">
        <f t="shared" si="17"/>
        <v>0.44943947658589573</v>
      </c>
      <c r="Q127">
        <f t="shared" si="14"/>
        <v>0</v>
      </c>
    </row>
    <row r="128" spans="2:17" x14ac:dyDescent="0.2">
      <c r="B128">
        <v>0.41561333628925362</v>
      </c>
      <c r="C128">
        <v>1.4214580323430081E-2</v>
      </c>
      <c r="D128">
        <f t="shared" si="10"/>
        <v>0.40139875596582353</v>
      </c>
      <c r="E128">
        <f t="shared" si="11"/>
        <v>0.42982791661268371</v>
      </c>
      <c r="F128">
        <f t="shared" si="12"/>
        <v>0.1434601513670439</v>
      </c>
      <c r="G128">
        <f t="shared" si="13"/>
        <v>0</v>
      </c>
      <c r="L128">
        <v>0.4655157805641138</v>
      </c>
      <c r="M128">
        <v>5.0139398197657338E-3</v>
      </c>
      <c r="N128">
        <f t="shared" si="15"/>
        <v>0.46050184074434808</v>
      </c>
      <c r="O128">
        <f t="shared" si="16"/>
        <v>0.47052972038387952</v>
      </c>
      <c r="P128">
        <f t="shared" si="17"/>
        <v>0.44943947658589573</v>
      </c>
      <c r="Q128">
        <f t="shared" si="14"/>
        <v>0</v>
      </c>
    </row>
    <row r="129" spans="2:17" x14ac:dyDescent="0.2">
      <c r="B129">
        <v>0.67527920298395439</v>
      </c>
      <c r="C129">
        <v>1.4008520091643909E-2</v>
      </c>
      <c r="D129">
        <f t="shared" si="10"/>
        <v>0.6612706828923105</v>
      </c>
      <c r="E129">
        <f t="shared" si="11"/>
        <v>0.68928772307559827</v>
      </c>
      <c r="F129">
        <f t="shared" si="12"/>
        <v>0.1434601513670439</v>
      </c>
      <c r="G129">
        <f t="shared" si="13"/>
        <v>0</v>
      </c>
      <c r="L129">
        <v>0.46548953757131678</v>
      </c>
      <c r="M129">
        <v>7.9809867064142472E-3</v>
      </c>
      <c r="N129">
        <f t="shared" si="15"/>
        <v>0.45750855086490255</v>
      </c>
      <c r="O129">
        <f t="shared" si="16"/>
        <v>0.47347052427773101</v>
      </c>
      <c r="P129">
        <f t="shared" si="17"/>
        <v>0.44943947658589573</v>
      </c>
      <c r="Q129">
        <f t="shared" si="14"/>
        <v>0</v>
      </c>
    </row>
    <row r="130" spans="2:17" x14ac:dyDescent="0.2">
      <c r="B130">
        <v>0.1670206821999288</v>
      </c>
      <c r="C130">
        <v>1.400625161751482E-2</v>
      </c>
      <c r="D130">
        <f t="shared" si="10"/>
        <v>0.15301443058241398</v>
      </c>
      <c r="E130">
        <f t="shared" si="11"/>
        <v>0.18102693381744361</v>
      </c>
      <c r="F130">
        <f t="shared" si="12"/>
        <v>0.1434601513670439</v>
      </c>
      <c r="G130">
        <f t="shared" si="13"/>
        <v>0</v>
      </c>
      <c r="L130">
        <v>0.4652064586147398</v>
      </c>
      <c r="M130">
        <v>6.5188749716355073E-3</v>
      </c>
      <c r="N130">
        <f t="shared" si="15"/>
        <v>0.4586875836431043</v>
      </c>
      <c r="O130">
        <f t="shared" si="16"/>
        <v>0.47172533358637531</v>
      </c>
      <c r="P130">
        <f t="shared" si="17"/>
        <v>0.44943947658589573</v>
      </c>
      <c r="Q130">
        <f t="shared" si="14"/>
        <v>0</v>
      </c>
    </row>
    <row r="131" spans="2:17" x14ac:dyDescent="0.2">
      <c r="B131">
        <v>0.66700465336745207</v>
      </c>
      <c r="C131">
        <v>1.3959576260723741E-2</v>
      </c>
      <c r="D131">
        <f t="shared" ref="D131:D194" si="18">B131-C131</f>
        <v>0.65304507710672832</v>
      </c>
      <c r="E131">
        <f t="shared" ref="E131:E194" si="19">B131+C131</f>
        <v>0.68096422962817582</v>
      </c>
      <c r="F131">
        <f t="shared" si="12"/>
        <v>0.1434601513670439</v>
      </c>
      <c r="G131">
        <f t="shared" si="13"/>
        <v>0</v>
      </c>
      <c r="L131">
        <v>0.46263831419904311</v>
      </c>
      <c r="M131">
        <v>3.9700339843523362E-3</v>
      </c>
      <c r="N131">
        <f t="shared" si="15"/>
        <v>0.45866828021469075</v>
      </c>
      <c r="O131">
        <f t="shared" si="16"/>
        <v>0.46660834818339547</v>
      </c>
      <c r="P131">
        <f t="shared" si="17"/>
        <v>0.44943947658589573</v>
      </c>
      <c r="Q131">
        <f t="shared" si="14"/>
        <v>0</v>
      </c>
    </row>
    <row r="132" spans="2:17" x14ac:dyDescent="0.2">
      <c r="B132">
        <v>0.3182625590165406</v>
      </c>
      <c r="C132">
        <v>1.3868866505368701E-2</v>
      </c>
      <c r="D132">
        <f t="shared" si="18"/>
        <v>0.30439369251117188</v>
      </c>
      <c r="E132">
        <f t="shared" si="19"/>
        <v>0.33213142552190933</v>
      </c>
      <c r="F132">
        <f t="shared" ref="F132:F195" si="20">IF(B132&gt;F131,F131,D132)</f>
        <v>0.1434601513670439</v>
      </c>
      <c r="G132">
        <f t="shared" ref="G132:G195" si="21">IF(F132=F131,0,1)</f>
        <v>0</v>
      </c>
      <c r="L132">
        <v>0.45286894161986169</v>
      </c>
      <c r="M132">
        <v>6.9406696631654288E-3</v>
      </c>
      <c r="N132">
        <f t="shared" si="15"/>
        <v>0.44592827195669626</v>
      </c>
      <c r="O132">
        <f t="shared" si="16"/>
        <v>0.45980961128302711</v>
      </c>
      <c r="P132">
        <f t="shared" si="17"/>
        <v>0.44943947658589573</v>
      </c>
      <c r="Q132">
        <f t="shared" ref="Q132:Q195" si="22">IF(P132=P131,0,1)</f>
        <v>0</v>
      </c>
    </row>
    <row r="133" spans="2:17" x14ac:dyDescent="0.2">
      <c r="B133">
        <v>0.17180131922216341</v>
      </c>
      <c r="C133">
        <v>1.380503741031845E-2</v>
      </c>
      <c r="D133">
        <f t="shared" si="18"/>
        <v>0.15799628181184497</v>
      </c>
      <c r="E133">
        <f t="shared" si="19"/>
        <v>0.18560635663248184</v>
      </c>
      <c r="F133">
        <f t="shared" si="20"/>
        <v>0.1434601513670439</v>
      </c>
      <c r="G133">
        <f t="shared" si="21"/>
        <v>0</v>
      </c>
      <c r="L133">
        <v>0.45161486470560402</v>
      </c>
      <c r="M133">
        <v>1.1784762864275629E-2</v>
      </c>
      <c r="N133">
        <f t="shared" ref="N133:N196" si="23">L133-M133</f>
        <v>0.43983010184132837</v>
      </c>
      <c r="O133">
        <f t="shared" ref="O133:O196" si="24">L133+M133</f>
        <v>0.46339962756987968</v>
      </c>
      <c r="P133">
        <f t="shared" ref="P133:P196" si="25">IF(L133&gt;P132,P132,N133)</f>
        <v>0.44943947658589573</v>
      </c>
      <c r="Q133">
        <f t="shared" si="22"/>
        <v>0</v>
      </c>
    </row>
    <row r="134" spans="2:17" x14ac:dyDescent="0.2">
      <c r="B134">
        <v>0.30658490851062598</v>
      </c>
      <c r="C134">
        <v>1.332244245154578E-2</v>
      </c>
      <c r="D134">
        <f t="shared" si="18"/>
        <v>0.29326246605908018</v>
      </c>
      <c r="E134">
        <f t="shared" si="19"/>
        <v>0.31990735096217177</v>
      </c>
      <c r="F134">
        <f t="shared" si="20"/>
        <v>0.1434601513670439</v>
      </c>
      <c r="G134">
        <f t="shared" si="21"/>
        <v>0</v>
      </c>
      <c r="L134">
        <v>0.45098501895393572</v>
      </c>
      <c r="M134">
        <v>8.8015052671100522E-3</v>
      </c>
      <c r="N134">
        <f t="shared" si="23"/>
        <v>0.44218351368682568</v>
      </c>
      <c r="O134">
        <f t="shared" si="24"/>
        <v>0.45978652422104577</v>
      </c>
      <c r="P134">
        <f t="shared" si="25"/>
        <v>0.44943947658589573</v>
      </c>
      <c r="Q134">
        <f t="shared" si="22"/>
        <v>0</v>
      </c>
    </row>
    <row r="135" spans="2:17" x14ac:dyDescent="0.2">
      <c r="B135">
        <v>0.37140610036303467</v>
      </c>
      <c r="C135">
        <v>1.316081368376611E-2</v>
      </c>
      <c r="D135">
        <f t="shared" si="18"/>
        <v>0.35824528667926858</v>
      </c>
      <c r="E135">
        <f t="shared" si="19"/>
        <v>0.38456691404680077</v>
      </c>
      <c r="F135">
        <f t="shared" si="20"/>
        <v>0.1434601513670439</v>
      </c>
      <c r="G135">
        <f t="shared" si="21"/>
        <v>0</v>
      </c>
      <c r="L135">
        <v>0.44821658489176108</v>
      </c>
      <c r="M135">
        <v>9.1988579553878291E-3</v>
      </c>
      <c r="N135">
        <f t="shared" si="23"/>
        <v>0.43901772693637325</v>
      </c>
      <c r="O135">
        <f t="shared" si="24"/>
        <v>0.45741544284714891</v>
      </c>
      <c r="P135">
        <f t="shared" si="25"/>
        <v>0.43901772693637325</v>
      </c>
      <c r="Q135">
        <f t="shared" si="22"/>
        <v>1</v>
      </c>
    </row>
    <row r="136" spans="2:17" x14ac:dyDescent="0.2">
      <c r="B136">
        <v>0.20786819242448551</v>
      </c>
      <c r="C136">
        <v>1.313104471388063E-2</v>
      </c>
      <c r="D136">
        <f t="shared" si="18"/>
        <v>0.19473714771060488</v>
      </c>
      <c r="E136">
        <f t="shared" si="19"/>
        <v>0.22099923713836614</v>
      </c>
      <c r="F136">
        <f t="shared" si="20"/>
        <v>0.1434601513670439</v>
      </c>
      <c r="G136">
        <f t="shared" si="21"/>
        <v>0</v>
      </c>
      <c r="L136">
        <v>0.44627380764766428</v>
      </c>
      <c r="M136">
        <v>9.7612671309064123E-4</v>
      </c>
      <c r="N136">
        <f t="shared" si="23"/>
        <v>0.44529768093457361</v>
      </c>
      <c r="O136">
        <f t="shared" si="24"/>
        <v>0.44724993436075494</v>
      </c>
      <c r="P136">
        <f t="shared" si="25"/>
        <v>0.43901772693637325</v>
      </c>
      <c r="Q136">
        <f t="shared" si="22"/>
        <v>0</v>
      </c>
    </row>
    <row r="137" spans="2:17" x14ac:dyDescent="0.2">
      <c r="B137">
        <v>0.58615225102100565</v>
      </c>
      <c r="C137">
        <v>1.30730254302091E-2</v>
      </c>
      <c r="D137">
        <f t="shared" si="18"/>
        <v>0.5730792255907966</v>
      </c>
      <c r="E137">
        <f t="shared" si="19"/>
        <v>0.59922527645121471</v>
      </c>
      <c r="F137">
        <f t="shared" si="20"/>
        <v>0.1434601513670439</v>
      </c>
      <c r="G137">
        <f t="shared" si="21"/>
        <v>0</v>
      </c>
      <c r="L137">
        <v>0.44601601213380843</v>
      </c>
      <c r="M137">
        <v>4.7617102736222383E-3</v>
      </c>
      <c r="N137">
        <f t="shared" si="23"/>
        <v>0.44125430186018622</v>
      </c>
      <c r="O137">
        <f t="shared" si="24"/>
        <v>0.45077772240743064</v>
      </c>
      <c r="P137">
        <f t="shared" si="25"/>
        <v>0.43901772693637325</v>
      </c>
      <c r="Q137">
        <f t="shared" si="22"/>
        <v>0</v>
      </c>
    </row>
    <row r="138" spans="2:17" x14ac:dyDescent="0.2">
      <c r="B138">
        <v>0.48833074579750868</v>
      </c>
      <c r="C138">
        <v>1.294272130234661E-2</v>
      </c>
      <c r="D138">
        <f t="shared" si="18"/>
        <v>0.47538802449516204</v>
      </c>
      <c r="E138">
        <f t="shared" si="19"/>
        <v>0.50127346709985532</v>
      </c>
      <c r="F138">
        <f t="shared" si="20"/>
        <v>0.1434601513670439</v>
      </c>
      <c r="G138">
        <f t="shared" si="21"/>
        <v>0</v>
      </c>
      <c r="L138">
        <v>0.44369822448293289</v>
      </c>
      <c r="M138">
        <v>1.2000120284374071E-2</v>
      </c>
      <c r="N138">
        <f t="shared" si="23"/>
        <v>0.43169810419855881</v>
      </c>
      <c r="O138">
        <f t="shared" si="24"/>
        <v>0.45569834476730697</v>
      </c>
      <c r="P138">
        <f t="shared" si="25"/>
        <v>0.43901772693637325</v>
      </c>
      <c r="Q138">
        <f t="shared" si="22"/>
        <v>0</v>
      </c>
    </row>
    <row r="139" spans="2:17" x14ac:dyDescent="0.2">
      <c r="B139">
        <v>0.66220015113446673</v>
      </c>
      <c r="C139">
        <v>1.279854830003236E-2</v>
      </c>
      <c r="D139">
        <f t="shared" si="18"/>
        <v>0.64940160283443438</v>
      </c>
      <c r="E139">
        <f t="shared" si="19"/>
        <v>0.67499869943449908</v>
      </c>
      <c r="F139">
        <f t="shared" si="20"/>
        <v>0.1434601513670439</v>
      </c>
      <c r="G139">
        <f t="shared" si="21"/>
        <v>0</v>
      </c>
      <c r="L139">
        <v>0.44306396493933892</v>
      </c>
      <c r="M139">
        <v>1.587349930252108E-2</v>
      </c>
      <c r="N139">
        <f t="shared" si="23"/>
        <v>0.42719046563681784</v>
      </c>
      <c r="O139">
        <f t="shared" si="24"/>
        <v>0.45893746424185999</v>
      </c>
      <c r="P139">
        <f t="shared" si="25"/>
        <v>0.43901772693637325</v>
      </c>
      <c r="Q139">
        <f t="shared" si="22"/>
        <v>0</v>
      </c>
    </row>
    <row r="140" spans="2:17" x14ac:dyDescent="0.2">
      <c r="B140">
        <v>0.51120440056753791</v>
      </c>
      <c r="C140">
        <v>1.268026751280985E-2</v>
      </c>
      <c r="D140">
        <f t="shared" si="18"/>
        <v>0.49852413305472804</v>
      </c>
      <c r="E140">
        <f t="shared" si="19"/>
        <v>0.52388466808034773</v>
      </c>
      <c r="F140">
        <f t="shared" si="20"/>
        <v>0.1434601513670439</v>
      </c>
      <c r="G140">
        <f t="shared" si="21"/>
        <v>0</v>
      </c>
      <c r="L140">
        <v>0.43041988497058781</v>
      </c>
      <c r="M140">
        <v>2.6328187804412948E-3</v>
      </c>
      <c r="N140">
        <f t="shared" si="23"/>
        <v>0.4277870661901465</v>
      </c>
      <c r="O140">
        <f t="shared" si="24"/>
        <v>0.43305270375102911</v>
      </c>
      <c r="P140">
        <f t="shared" si="25"/>
        <v>0.4277870661901465</v>
      </c>
      <c r="Q140">
        <f t="shared" si="22"/>
        <v>1</v>
      </c>
    </row>
    <row r="141" spans="2:17" x14ac:dyDescent="0.2">
      <c r="B141">
        <v>0.52443782631879821</v>
      </c>
      <c r="C141">
        <v>1.2647578465889301E-2</v>
      </c>
      <c r="D141">
        <f t="shared" si="18"/>
        <v>0.51179024785290894</v>
      </c>
      <c r="E141">
        <f t="shared" si="19"/>
        <v>0.53708540478468747</v>
      </c>
      <c r="F141">
        <f t="shared" si="20"/>
        <v>0.1434601513670439</v>
      </c>
      <c r="G141">
        <f t="shared" si="21"/>
        <v>0</v>
      </c>
      <c r="L141">
        <v>0.42899180896383587</v>
      </c>
      <c r="M141">
        <v>1.434613613419675E-2</v>
      </c>
      <c r="N141">
        <f t="shared" si="23"/>
        <v>0.4146456728296391</v>
      </c>
      <c r="O141">
        <f t="shared" si="24"/>
        <v>0.44333794509803265</v>
      </c>
      <c r="P141">
        <f t="shared" si="25"/>
        <v>0.4277870661901465</v>
      </c>
      <c r="Q141">
        <f t="shared" si="22"/>
        <v>0</v>
      </c>
    </row>
    <row r="142" spans="2:17" x14ac:dyDescent="0.2">
      <c r="B142">
        <v>0.47977594970724841</v>
      </c>
      <c r="C142">
        <v>1.258393900823975E-2</v>
      </c>
      <c r="D142">
        <f t="shared" si="18"/>
        <v>0.46719201069900868</v>
      </c>
      <c r="E142">
        <f t="shared" si="19"/>
        <v>0.49235988871548814</v>
      </c>
      <c r="F142">
        <f t="shared" si="20"/>
        <v>0.1434601513670439</v>
      </c>
      <c r="G142">
        <f t="shared" si="21"/>
        <v>0</v>
      </c>
      <c r="L142">
        <v>0.42889313111913352</v>
      </c>
      <c r="M142">
        <v>3.1540557466290318E-3</v>
      </c>
      <c r="N142">
        <f t="shared" si="23"/>
        <v>0.42573907537250449</v>
      </c>
      <c r="O142">
        <f t="shared" si="24"/>
        <v>0.43204718686576254</v>
      </c>
      <c r="P142">
        <f t="shared" si="25"/>
        <v>0.4277870661901465</v>
      </c>
      <c r="Q142">
        <f t="shared" si="22"/>
        <v>0</v>
      </c>
    </row>
    <row r="143" spans="2:17" x14ac:dyDescent="0.2">
      <c r="B143">
        <v>0.82241875028571443</v>
      </c>
      <c r="C143">
        <v>1.239287752952432E-2</v>
      </c>
      <c r="D143">
        <f t="shared" si="18"/>
        <v>0.81002587275619009</v>
      </c>
      <c r="E143">
        <f t="shared" si="19"/>
        <v>0.83481162781523877</v>
      </c>
      <c r="F143">
        <f t="shared" si="20"/>
        <v>0.1434601513670439</v>
      </c>
      <c r="G143">
        <f t="shared" si="21"/>
        <v>0</v>
      </c>
      <c r="L143">
        <v>0.42823239539703578</v>
      </c>
      <c r="M143">
        <v>2.5050274942234299E-3</v>
      </c>
      <c r="N143">
        <f t="shared" si="23"/>
        <v>0.42572736790281235</v>
      </c>
      <c r="O143">
        <f t="shared" si="24"/>
        <v>0.43073742289125921</v>
      </c>
      <c r="P143">
        <f t="shared" si="25"/>
        <v>0.4277870661901465</v>
      </c>
      <c r="Q143">
        <f t="shared" si="22"/>
        <v>0</v>
      </c>
    </row>
    <row r="144" spans="2:17" x14ac:dyDescent="0.2">
      <c r="B144">
        <v>0.63260583408146709</v>
      </c>
      <c r="C144">
        <v>1.2068605580688729E-2</v>
      </c>
      <c r="D144">
        <f t="shared" si="18"/>
        <v>0.62053722850077841</v>
      </c>
      <c r="E144">
        <f t="shared" si="19"/>
        <v>0.64467443966215576</v>
      </c>
      <c r="F144">
        <f t="shared" si="20"/>
        <v>0.1434601513670439</v>
      </c>
      <c r="G144">
        <f t="shared" si="21"/>
        <v>0</v>
      </c>
      <c r="L144">
        <v>0.42128492299181097</v>
      </c>
      <c r="M144">
        <v>1.027008251534612E-2</v>
      </c>
      <c r="N144">
        <f t="shared" si="23"/>
        <v>0.41101484047646486</v>
      </c>
      <c r="O144">
        <f t="shared" si="24"/>
        <v>0.43155500550715709</v>
      </c>
      <c r="P144">
        <f t="shared" si="25"/>
        <v>0.41101484047646486</v>
      </c>
      <c r="Q144">
        <f t="shared" si="22"/>
        <v>1</v>
      </c>
    </row>
    <row r="145" spans="2:17" x14ac:dyDescent="0.2">
      <c r="B145">
        <v>0.44369822448293289</v>
      </c>
      <c r="C145">
        <v>1.2000120284374071E-2</v>
      </c>
      <c r="D145">
        <f t="shared" si="18"/>
        <v>0.43169810419855881</v>
      </c>
      <c r="E145">
        <f t="shared" si="19"/>
        <v>0.45569834476730697</v>
      </c>
      <c r="F145">
        <f t="shared" si="20"/>
        <v>0.1434601513670439</v>
      </c>
      <c r="G145">
        <f t="shared" si="21"/>
        <v>0</v>
      </c>
      <c r="L145">
        <v>0.42051762537220322</v>
      </c>
      <c r="M145">
        <v>4.9684040093986763E-3</v>
      </c>
      <c r="N145">
        <f t="shared" si="23"/>
        <v>0.41554922136280453</v>
      </c>
      <c r="O145">
        <f t="shared" si="24"/>
        <v>0.4254860293816019</v>
      </c>
      <c r="P145">
        <f t="shared" si="25"/>
        <v>0.41101484047646486</v>
      </c>
      <c r="Q145">
        <f t="shared" si="22"/>
        <v>0</v>
      </c>
    </row>
    <row r="146" spans="2:17" x14ac:dyDescent="0.2">
      <c r="B146">
        <v>0.28667841177805509</v>
      </c>
      <c r="C146">
        <v>1.179357393996594E-2</v>
      </c>
      <c r="D146">
        <f t="shared" si="18"/>
        <v>0.27488483783808915</v>
      </c>
      <c r="E146">
        <f t="shared" si="19"/>
        <v>0.29847198571802103</v>
      </c>
      <c r="F146">
        <f t="shared" si="20"/>
        <v>0.1434601513670439</v>
      </c>
      <c r="G146">
        <f t="shared" si="21"/>
        <v>0</v>
      </c>
      <c r="L146">
        <v>0.41984825177542912</v>
      </c>
      <c r="M146">
        <v>3.5082964863473211E-3</v>
      </c>
      <c r="N146">
        <f t="shared" si="23"/>
        <v>0.4163399552890818</v>
      </c>
      <c r="O146">
        <f t="shared" si="24"/>
        <v>0.42335654826177643</v>
      </c>
      <c r="P146">
        <f t="shared" si="25"/>
        <v>0.41101484047646486</v>
      </c>
      <c r="Q146">
        <f t="shared" si="22"/>
        <v>0</v>
      </c>
    </row>
    <row r="147" spans="2:17" x14ac:dyDescent="0.2">
      <c r="B147">
        <v>0.45161486470560402</v>
      </c>
      <c r="C147">
        <v>1.1784762864275629E-2</v>
      </c>
      <c r="D147">
        <f t="shared" si="18"/>
        <v>0.43983010184132837</v>
      </c>
      <c r="E147">
        <f t="shared" si="19"/>
        <v>0.46339962756987968</v>
      </c>
      <c r="F147">
        <f t="shared" si="20"/>
        <v>0.1434601513670439</v>
      </c>
      <c r="G147">
        <f t="shared" si="21"/>
        <v>0</v>
      </c>
      <c r="L147">
        <v>0.41804663709628709</v>
      </c>
      <c r="M147">
        <v>1.0867550787295991E-2</v>
      </c>
      <c r="N147">
        <f t="shared" si="23"/>
        <v>0.40717908630899108</v>
      </c>
      <c r="O147">
        <f t="shared" si="24"/>
        <v>0.4289141878835831</v>
      </c>
      <c r="P147">
        <f t="shared" si="25"/>
        <v>0.41101484047646486</v>
      </c>
      <c r="Q147">
        <f t="shared" si="22"/>
        <v>0</v>
      </c>
    </row>
    <row r="148" spans="2:17" x14ac:dyDescent="0.2">
      <c r="B148">
        <v>0.19672122896831251</v>
      </c>
      <c r="C148">
        <v>1.17811873430172E-2</v>
      </c>
      <c r="D148">
        <f t="shared" si="18"/>
        <v>0.18494004162529531</v>
      </c>
      <c r="E148">
        <f t="shared" si="19"/>
        <v>0.20850241631132971</v>
      </c>
      <c r="F148">
        <f t="shared" si="20"/>
        <v>0.1434601513670439</v>
      </c>
      <c r="G148">
        <f t="shared" si="21"/>
        <v>0</v>
      </c>
      <c r="L148">
        <v>0.41735142396681052</v>
      </c>
      <c r="M148">
        <v>3.5291035476340358E-3</v>
      </c>
      <c r="N148">
        <f t="shared" si="23"/>
        <v>0.41382232041917649</v>
      </c>
      <c r="O148">
        <f t="shared" si="24"/>
        <v>0.42088052751444455</v>
      </c>
      <c r="P148">
        <f t="shared" si="25"/>
        <v>0.41101484047646486</v>
      </c>
      <c r="Q148">
        <f t="shared" si="22"/>
        <v>0</v>
      </c>
    </row>
    <row r="149" spans="2:17" x14ac:dyDescent="0.2">
      <c r="B149">
        <v>0.36502321751922279</v>
      </c>
      <c r="C149">
        <v>1.1695610224717899E-2</v>
      </c>
      <c r="D149">
        <f t="shared" si="18"/>
        <v>0.35332760729450491</v>
      </c>
      <c r="E149">
        <f t="shared" si="19"/>
        <v>0.37671882774394067</v>
      </c>
      <c r="F149">
        <f t="shared" si="20"/>
        <v>0.1434601513670439</v>
      </c>
      <c r="G149">
        <f t="shared" si="21"/>
        <v>0</v>
      </c>
      <c r="L149">
        <v>0.41648088222923768</v>
      </c>
      <c r="M149">
        <v>1.9356047120482351E-2</v>
      </c>
      <c r="N149">
        <f t="shared" si="23"/>
        <v>0.39712483510875535</v>
      </c>
      <c r="O149">
        <f t="shared" si="24"/>
        <v>0.43583692934972001</v>
      </c>
      <c r="P149">
        <f t="shared" si="25"/>
        <v>0.41101484047646486</v>
      </c>
      <c r="Q149">
        <f t="shared" si="22"/>
        <v>0</v>
      </c>
    </row>
    <row r="150" spans="2:17" x14ac:dyDescent="0.2">
      <c r="B150">
        <v>0.59505584426712832</v>
      </c>
      <c r="C150">
        <v>1.143159412873271E-2</v>
      </c>
      <c r="D150">
        <f t="shared" si="18"/>
        <v>0.58362425013839558</v>
      </c>
      <c r="E150">
        <f t="shared" si="19"/>
        <v>0.60648743839586106</v>
      </c>
      <c r="F150">
        <f t="shared" si="20"/>
        <v>0.1434601513670439</v>
      </c>
      <c r="G150">
        <f t="shared" si="21"/>
        <v>0</v>
      </c>
      <c r="L150">
        <v>0.41630903279471032</v>
      </c>
      <c r="M150">
        <v>4.8760849036629458E-3</v>
      </c>
      <c r="N150">
        <f t="shared" si="23"/>
        <v>0.4114329478910474</v>
      </c>
      <c r="O150">
        <f t="shared" si="24"/>
        <v>0.42118511769837325</v>
      </c>
      <c r="P150">
        <f t="shared" si="25"/>
        <v>0.41101484047646486</v>
      </c>
      <c r="Q150">
        <f t="shared" si="22"/>
        <v>0</v>
      </c>
    </row>
    <row r="151" spans="2:17" x14ac:dyDescent="0.2">
      <c r="B151">
        <v>0.55852320953099566</v>
      </c>
      <c r="C151">
        <v>1.1378822275583371E-2</v>
      </c>
      <c r="D151">
        <f t="shared" si="18"/>
        <v>0.54714438725541226</v>
      </c>
      <c r="E151">
        <f t="shared" si="19"/>
        <v>0.56990203180657906</v>
      </c>
      <c r="F151">
        <f t="shared" si="20"/>
        <v>0.1434601513670439</v>
      </c>
      <c r="G151">
        <f t="shared" si="21"/>
        <v>0</v>
      </c>
      <c r="L151">
        <v>0.41579192278361621</v>
      </c>
      <c r="M151">
        <v>1.0900394773784121E-2</v>
      </c>
      <c r="N151">
        <f t="shared" si="23"/>
        <v>0.40489152800983208</v>
      </c>
      <c r="O151">
        <f t="shared" si="24"/>
        <v>0.42669231755740034</v>
      </c>
      <c r="P151">
        <f t="shared" si="25"/>
        <v>0.41101484047646486</v>
      </c>
      <c r="Q151">
        <f t="shared" si="22"/>
        <v>0</v>
      </c>
    </row>
    <row r="152" spans="2:17" x14ac:dyDescent="0.2">
      <c r="B152">
        <v>0.37378318030312008</v>
      </c>
      <c r="C152">
        <v>1.131025301858081E-2</v>
      </c>
      <c r="D152">
        <f t="shared" si="18"/>
        <v>0.36247292728453928</v>
      </c>
      <c r="E152">
        <f t="shared" si="19"/>
        <v>0.38509343332170087</v>
      </c>
      <c r="F152">
        <f t="shared" si="20"/>
        <v>0.1434601513670439</v>
      </c>
      <c r="G152">
        <f t="shared" si="21"/>
        <v>0</v>
      </c>
      <c r="L152">
        <v>0.41561333628925362</v>
      </c>
      <c r="M152">
        <v>1.4214580323430081E-2</v>
      </c>
      <c r="N152">
        <f t="shared" si="23"/>
        <v>0.40139875596582353</v>
      </c>
      <c r="O152">
        <f t="shared" si="24"/>
        <v>0.42982791661268371</v>
      </c>
      <c r="P152">
        <f t="shared" si="25"/>
        <v>0.41101484047646486</v>
      </c>
      <c r="Q152">
        <f t="shared" si="22"/>
        <v>0</v>
      </c>
    </row>
    <row r="153" spans="2:17" x14ac:dyDescent="0.2">
      <c r="B153">
        <v>0.48164578642127798</v>
      </c>
      <c r="C153">
        <v>1.113608703623724E-2</v>
      </c>
      <c r="D153">
        <f t="shared" si="18"/>
        <v>0.47050969938504072</v>
      </c>
      <c r="E153">
        <f t="shared" si="19"/>
        <v>0.49278187345751523</v>
      </c>
      <c r="F153">
        <f t="shared" si="20"/>
        <v>0.1434601513670439</v>
      </c>
      <c r="G153">
        <f t="shared" si="21"/>
        <v>0</v>
      </c>
      <c r="L153">
        <v>0.41077396951857359</v>
      </c>
      <c r="M153">
        <v>2.1054633707947778E-3</v>
      </c>
      <c r="N153">
        <f t="shared" si="23"/>
        <v>0.40866850614777883</v>
      </c>
      <c r="O153">
        <f t="shared" si="24"/>
        <v>0.41287943288936835</v>
      </c>
      <c r="P153">
        <f t="shared" si="25"/>
        <v>0.40866850614777883</v>
      </c>
      <c r="Q153">
        <f t="shared" si="22"/>
        <v>1</v>
      </c>
    </row>
    <row r="154" spans="2:17" x14ac:dyDescent="0.2">
      <c r="B154">
        <v>0.54343500890418295</v>
      </c>
      <c r="C154">
        <v>1.110437647602935E-2</v>
      </c>
      <c r="D154">
        <f t="shared" si="18"/>
        <v>0.53233063242815359</v>
      </c>
      <c r="E154">
        <f t="shared" si="19"/>
        <v>0.5545393853802123</v>
      </c>
      <c r="F154">
        <f t="shared" si="20"/>
        <v>0.1434601513670439</v>
      </c>
      <c r="G154">
        <f t="shared" si="21"/>
        <v>0</v>
      </c>
      <c r="L154">
        <v>0.39481252147366219</v>
      </c>
      <c r="M154">
        <v>1.842754707235621E-2</v>
      </c>
      <c r="N154">
        <f t="shared" si="23"/>
        <v>0.37638497440130597</v>
      </c>
      <c r="O154">
        <f t="shared" si="24"/>
        <v>0.41324006854601841</v>
      </c>
      <c r="P154">
        <f t="shared" si="25"/>
        <v>0.37638497440130597</v>
      </c>
      <c r="Q154">
        <f t="shared" si="22"/>
        <v>1</v>
      </c>
    </row>
    <row r="155" spans="2:17" x14ac:dyDescent="0.2">
      <c r="B155">
        <v>0.69907952709136456</v>
      </c>
      <c r="C155">
        <v>1.0982166216606699E-2</v>
      </c>
      <c r="D155">
        <f t="shared" si="18"/>
        <v>0.68809736087475781</v>
      </c>
      <c r="E155">
        <f t="shared" si="19"/>
        <v>0.71006169330797131</v>
      </c>
      <c r="F155">
        <f t="shared" si="20"/>
        <v>0.1434601513670439</v>
      </c>
      <c r="G155">
        <f t="shared" si="21"/>
        <v>0</v>
      </c>
      <c r="L155">
        <v>0.39241641573316199</v>
      </c>
      <c r="M155">
        <v>1.691342001550105E-2</v>
      </c>
      <c r="N155">
        <f t="shared" si="23"/>
        <v>0.37550299571766094</v>
      </c>
      <c r="O155">
        <f t="shared" si="24"/>
        <v>0.40932983574866305</v>
      </c>
      <c r="P155">
        <f t="shared" si="25"/>
        <v>0.37638497440130597</v>
      </c>
      <c r="Q155">
        <f t="shared" si="22"/>
        <v>0</v>
      </c>
    </row>
    <row r="156" spans="2:17" x14ac:dyDescent="0.2">
      <c r="B156">
        <v>0.59985820636935139</v>
      </c>
      <c r="C156">
        <v>1.0959715520701369E-2</v>
      </c>
      <c r="D156">
        <f t="shared" si="18"/>
        <v>0.58889849084864998</v>
      </c>
      <c r="E156">
        <f t="shared" si="19"/>
        <v>0.6108179218900528</v>
      </c>
      <c r="F156">
        <f t="shared" si="20"/>
        <v>0.1434601513670439</v>
      </c>
      <c r="G156">
        <f t="shared" si="21"/>
        <v>0</v>
      </c>
      <c r="L156">
        <v>0.38737666805601612</v>
      </c>
      <c r="M156">
        <v>3.1432604308156459E-3</v>
      </c>
      <c r="N156">
        <f t="shared" si="23"/>
        <v>0.38423340762520047</v>
      </c>
      <c r="O156">
        <f t="shared" si="24"/>
        <v>0.39051992848683176</v>
      </c>
      <c r="P156">
        <f t="shared" si="25"/>
        <v>0.37638497440130597</v>
      </c>
      <c r="Q156">
        <f t="shared" si="22"/>
        <v>0</v>
      </c>
    </row>
    <row r="157" spans="2:17" x14ac:dyDescent="0.2">
      <c r="B157">
        <v>0.41579192278361621</v>
      </c>
      <c r="C157">
        <v>1.0900394773784121E-2</v>
      </c>
      <c r="D157">
        <f t="shared" si="18"/>
        <v>0.40489152800983208</v>
      </c>
      <c r="E157">
        <f t="shared" si="19"/>
        <v>0.42669231755740034</v>
      </c>
      <c r="F157">
        <f t="shared" si="20"/>
        <v>0.1434601513670439</v>
      </c>
      <c r="G157">
        <f t="shared" si="21"/>
        <v>0</v>
      </c>
      <c r="L157">
        <v>0.38479944699847007</v>
      </c>
      <c r="M157">
        <v>1.861205107463319E-2</v>
      </c>
      <c r="N157">
        <f t="shared" si="23"/>
        <v>0.36618739592383687</v>
      </c>
      <c r="O157">
        <f t="shared" si="24"/>
        <v>0.40341149807310328</v>
      </c>
      <c r="P157">
        <f t="shared" si="25"/>
        <v>0.37638497440130597</v>
      </c>
      <c r="Q157">
        <f t="shared" si="22"/>
        <v>0</v>
      </c>
    </row>
    <row r="158" spans="2:17" x14ac:dyDescent="0.2">
      <c r="B158">
        <v>0.41804663709628709</v>
      </c>
      <c r="C158">
        <v>1.0867550787295991E-2</v>
      </c>
      <c r="D158">
        <f t="shared" si="18"/>
        <v>0.40717908630899108</v>
      </c>
      <c r="E158">
        <f t="shared" si="19"/>
        <v>0.4289141878835831</v>
      </c>
      <c r="F158">
        <f t="shared" si="20"/>
        <v>0.1434601513670439</v>
      </c>
      <c r="G158">
        <f t="shared" si="21"/>
        <v>0</v>
      </c>
      <c r="L158">
        <v>0.37780105002636688</v>
      </c>
      <c r="M158">
        <v>2.2318452511214939E-3</v>
      </c>
      <c r="N158">
        <f t="shared" si="23"/>
        <v>0.37556920477524541</v>
      </c>
      <c r="O158">
        <f t="shared" si="24"/>
        <v>0.38003289527748835</v>
      </c>
      <c r="P158">
        <f t="shared" si="25"/>
        <v>0.37638497440130597</v>
      </c>
      <c r="Q158">
        <f t="shared" si="22"/>
        <v>0</v>
      </c>
    </row>
    <row r="159" spans="2:17" x14ac:dyDescent="0.2">
      <c r="B159">
        <v>0.3103873979250672</v>
      </c>
      <c r="C159">
        <v>1.0859443940033501E-2</v>
      </c>
      <c r="D159">
        <f t="shared" si="18"/>
        <v>0.29952795398503368</v>
      </c>
      <c r="E159">
        <f t="shared" si="19"/>
        <v>0.32124684186510072</v>
      </c>
      <c r="F159">
        <f t="shared" si="20"/>
        <v>0.1434601513670439</v>
      </c>
      <c r="G159">
        <f t="shared" si="21"/>
        <v>0</v>
      </c>
      <c r="L159">
        <v>0.37695151139042921</v>
      </c>
      <c r="M159">
        <v>1.69596309473302E-2</v>
      </c>
      <c r="N159">
        <f t="shared" si="23"/>
        <v>0.35999188044309899</v>
      </c>
      <c r="O159">
        <f t="shared" si="24"/>
        <v>0.39391114233775942</v>
      </c>
      <c r="P159">
        <f t="shared" si="25"/>
        <v>0.37638497440130597</v>
      </c>
      <c r="Q159">
        <f t="shared" si="22"/>
        <v>0</v>
      </c>
    </row>
    <row r="160" spans="2:17" x14ac:dyDescent="0.2">
      <c r="B160">
        <v>0.53130280669175689</v>
      </c>
      <c r="C160">
        <v>1.082459485920721E-2</v>
      </c>
      <c r="D160">
        <f t="shared" si="18"/>
        <v>0.52047821183254972</v>
      </c>
      <c r="E160">
        <f t="shared" si="19"/>
        <v>0.54212740155096406</v>
      </c>
      <c r="F160">
        <f t="shared" si="20"/>
        <v>0.1434601513670439</v>
      </c>
      <c r="G160">
        <f t="shared" si="21"/>
        <v>0</v>
      </c>
      <c r="L160">
        <v>0.37601430176682649</v>
      </c>
      <c r="M160">
        <v>5.8191112966586144E-3</v>
      </c>
      <c r="N160">
        <f t="shared" si="23"/>
        <v>0.37019519047016786</v>
      </c>
      <c r="O160">
        <f t="shared" si="24"/>
        <v>0.38183341306348512</v>
      </c>
      <c r="P160">
        <f t="shared" si="25"/>
        <v>0.37019519047016786</v>
      </c>
      <c r="Q160">
        <f t="shared" si="22"/>
        <v>1</v>
      </c>
    </row>
    <row r="161" spans="2:17" x14ac:dyDescent="0.2">
      <c r="B161">
        <v>0.52304775436448891</v>
      </c>
      <c r="C161">
        <v>1.0548028526300379E-2</v>
      </c>
      <c r="D161">
        <f t="shared" si="18"/>
        <v>0.51249972583818848</v>
      </c>
      <c r="E161">
        <f t="shared" si="19"/>
        <v>0.53359578289078935</v>
      </c>
      <c r="F161">
        <f t="shared" si="20"/>
        <v>0.1434601513670439</v>
      </c>
      <c r="G161">
        <f t="shared" si="21"/>
        <v>0</v>
      </c>
      <c r="L161">
        <v>0.37553846609882519</v>
      </c>
      <c r="M161">
        <v>1.00292724225162E-2</v>
      </c>
      <c r="N161">
        <f t="shared" si="23"/>
        <v>0.36550919367630896</v>
      </c>
      <c r="O161">
        <f t="shared" si="24"/>
        <v>0.38556773852134141</v>
      </c>
      <c r="P161">
        <f t="shared" si="25"/>
        <v>0.37019519047016786</v>
      </c>
      <c r="Q161">
        <f t="shared" si="22"/>
        <v>0</v>
      </c>
    </row>
    <row r="162" spans="2:17" x14ac:dyDescent="0.2">
      <c r="B162">
        <v>0.5542982037059212</v>
      </c>
      <c r="C162">
        <v>1.0547354311653699E-2</v>
      </c>
      <c r="D162">
        <f t="shared" si="18"/>
        <v>0.54375084939426754</v>
      </c>
      <c r="E162">
        <f t="shared" si="19"/>
        <v>0.56484555801757486</v>
      </c>
      <c r="F162">
        <f t="shared" si="20"/>
        <v>0.1434601513670439</v>
      </c>
      <c r="G162">
        <f t="shared" si="21"/>
        <v>0</v>
      </c>
      <c r="L162">
        <v>0.37477967269433088</v>
      </c>
      <c r="M162">
        <v>4.8603070810243933E-3</v>
      </c>
      <c r="N162">
        <f t="shared" si="23"/>
        <v>0.36991936561330646</v>
      </c>
      <c r="O162">
        <f t="shared" si="24"/>
        <v>0.3796399797753553</v>
      </c>
      <c r="P162">
        <f t="shared" si="25"/>
        <v>0.37019519047016786</v>
      </c>
      <c r="Q162">
        <f t="shared" si="22"/>
        <v>0</v>
      </c>
    </row>
    <row r="163" spans="2:17" x14ac:dyDescent="0.2">
      <c r="B163">
        <v>0.59062697927855434</v>
      </c>
      <c r="C163">
        <v>1.0539073370809121E-2</v>
      </c>
      <c r="D163">
        <f t="shared" si="18"/>
        <v>0.58008790590774517</v>
      </c>
      <c r="E163">
        <f t="shared" si="19"/>
        <v>0.60116605264936351</v>
      </c>
      <c r="F163">
        <f t="shared" si="20"/>
        <v>0.1434601513670439</v>
      </c>
      <c r="G163">
        <f t="shared" si="21"/>
        <v>0</v>
      </c>
      <c r="L163">
        <v>0.37378318030312008</v>
      </c>
      <c r="M163">
        <v>1.131025301858081E-2</v>
      </c>
      <c r="N163">
        <f t="shared" si="23"/>
        <v>0.36247292728453928</v>
      </c>
      <c r="O163">
        <f t="shared" si="24"/>
        <v>0.38509343332170087</v>
      </c>
      <c r="P163">
        <f t="shared" si="25"/>
        <v>0.37019519047016786</v>
      </c>
      <c r="Q163">
        <f t="shared" si="22"/>
        <v>0</v>
      </c>
    </row>
    <row r="164" spans="2:17" x14ac:dyDescent="0.2">
      <c r="B164">
        <v>0.66887750517098477</v>
      </c>
      <c r="C164">
        <v>1.0309744026150799E-2</v>
      </c>
      <c r="D164">
        <f t="shared" si="18"/>
        <v>0.65856776114483395</v>
      </c>
      <c r="E164">
        <f t="shared" si="19"/>
        <v>0.67918724919713558</v>
      </c>
      <c r="F164">
        <f t="shared" si="20"/>
        <v>0.1434601513670439</v>
      </c>
      <c r="G164">
        <f t="shared" si="21"/>
        <v>0</v>
      </c>
      <c r="L164">
        <v>0.37299087639744272</v>
      </c>
      <c r="M164">
        <v>1.5464271200114829E-2</v>
      </c>
      <c r="N164">
        <f t="shared" si="23"/>
        <v>0.35752660519732787</v>
      </c>
      <c r="O164">
        <f t="shared" si="24"/>
        <v>0.38845514759755756</v>
      </c>
      <c r="P164">
        <f t="shared" si="25"/>
        <v>0.37019519047016786</v>
      </c>
      <c r="Q164">
        <f t="shared" si="22"/>
        <v>0</v>
      </c>
    </row>
    <row r="165" spans="2:17" x14ac:dyDescent="0.2">
      <c r="B165">
        <v>0.42128492299181097</v>
      </c>
      <c r="C165">
        <v>1.027008251534612E-2</v>
      </c>
      <c r="D165">
        <f t="shared" si="18"/>
        <v>0.41101484047646486</v>
      </c>
      <c r="E165">
        <f t="shared" si="19"/>
        <v>0.43155500550715709</v>
      </c>
      <c r="F165">
        <f t="shared" si="20"/>
        <v>0.1434601513670439</v>
      </c>
      <c r="G165">
        <f t="shared" si="21"/>
        <v>0</v>
      </c>
      <c r="L165">
        <v>0.37226498676703168</v>
      </c>
      <c r="M165">
        <v>1.0594244265274321E-3</v>
      </c>
      <c r="N165">
        <f t="shared" si="23"/>
        <v>0.37120556234050422</v>
      </c>
      <c r="O165">
        <f t="shared" si="24"/>
        <v>0.37332441119355914</v>
      </c>
      <c r="P165">
        <f t="shared" si="25"/>
        <v>0.37019519047016786</v>
      </c>
      <c r="Q165">
        <f t="shared" si="22"/>
        <v>0</v>
      </c>
    </row>
    <row r="166" spans="2:17" x14ac:dyDescent="0.2">
      <c r="B166">
        <v>0.78318014552348014</v>
      </c>
      <c r="C166">
        <v>1.025669759223596E-2</v>
      </c>
      <c r="D166">
        <f t="shared" si="18"/>
        <v>0.77292344793124423</v>
      </c>
      <c r="E166">
        <f t="shared" si="19"/>
        <v>0.79343684311571605</v>
      </c>
      <c r="F166">
        <f t="shared" si="20"/>
        <v>0.1434601513670439</v>
      </c>
      <c r="G166">
        <f t="shared" si="21"/>
        <v>0</v>
      </c>
      <c r="L166">
        <v>0.37140610036303467</v>
      </c>
      <c r="M166">
        <v>1.316081368376611E-2</v>
      </c>
      <c r="N166">
        <f t="shared" si="23"/>
        <v>0.35824528667926858</v>
      </c>
      <c r="O166">
        <f t="shared" si="24"/>
        <v>0.38456691404680077</v>
      </c>
      <c r="P166">
        <f t="shared" si="25"/>
        <v>0.37019519047016786</v>
      </c>
      <c r="Q166">
        <f t="shared" si="22"/>
        <v>0</v>
      </c>
    </row>
    <row r="167" spans="2:17" x14ac:dyDescent="0.2">
      <c r="B167">
        <v>0.81330836884138269</v>
      </c>
      <c r="C167">
        <v>1.023626291855686E-2</v>
      </c>
      <c r="D167">
        <f t="shared" si="18"/>
        <v>0.80307210592282585</v>
      </c>
      <c r="E167">
        <f t="shared" si="19"/>
        <v>0.82354463175993953</v>
      </c>
      <c r="F167">
        <f t="shared" si="20"/>
        <v>0.1434601513670439</v>
      </c>
      <c r="G167">
        <f t="shared" si="21"/>
        <v>0</v>
      </c>
      <c r="L167">
        <v>0.36984629833047228</v>
      </c>
      <c r="M167">
        <v>7.2485518527023287E-3</v>
      </c>
      <c r="N167">
        <f t="shared" si="23"/>
        <v>0.36259774647776993</v>
      </c>
      <c r="O167">
        <f t="shared" si="24"/>
        <v>0.37709485018317462</v>
      </c>
      <c r="P167">
        <f t="shared" si="25"/>
        <v>0.36259774647776993</v>
      </c>
      <c r="Q167">
        <f t="shared" si="22"/>
        <v>1</v>
      </c>
    </row>
    <row r="168" spans="2:17" x14ac:dyDescent="0.2">
      <c r="B168">
        <v>0.33050519273884932</v>
      </c>
      <c r="C168">
        <v>1.0064982028219789E-2</v>
      </c>
      <c r="D168">
        <f t="shared" si="18"/>
        <v>0.3204402107106295</v>
      </c>
      <c r="E168">
        <f t="shared" si="19"/>
        <v>0.34057017476706913</v>
      </c>
      <c r="F168">
        <f t="shared" si="20"/>
        <v>0.1434601513670439</v>
      </c>
      <c r="G168">
        <f t="shared" si="21"/>
        <v>0</v>
      </c>
      <c r="L168">
        <v>0.36725700444894321</v>
      </c>
      <c r="M168">
        <v>8.0383961106445054E-3</v>
      </c>
      <c r="N168">
        <f t="shared" si="23"/>
        <v>0.35921860833829872</v>
      </c>
      <c r="O168">
        <f t="shared" si="24"/>
        <v>0.37529540055958771</v>
      </c>
      <c r="P168">
        <f t="shared" si="25"/>
        <v>0.36259774647776993</v>
      </c>
      <c r="Q168">
        <f t="shared" si="22"/>
        <v>0</v>
      </c>
    </row>
    <row r="169" spans="2:17" x14ac:dyDescent="0.2">
      <c r="B169">
        <v>0.37553846609882519</v>
      </c>
      <c r="C169">
        <v>1.00292724225162E-2</v>
      </c>
      <c r="D169">
        <f t="shared" si="18"/>
        <v>0.36550919367630896</v>
      </c>
      <c r="E169">
        <f t="shared" si="19"/>
        <v>0.38556773852134141</v>
      </c>
      <c r="F169">
        <f t="shared" si="20"/>
        <v>0.1434601513670439</v>
      </c>
      <c r="G169">
        <f t="shared" si="21"/>
        <v>0</v>
      </c>
      <c r="L169">
        <v>0.36502321751922279</v>
      </c>
      <c r="M169">
        <v>1.1695610224717899E-2</v>
      </c>
      <c r="N169">
        <f t="shared" si="23"/>
        <v>0.35332760729450491</v>
      </c>
      <c r="O169">
        <f t="shared" si="24"/>
        <v>0.37671882774394067</v>
      </c>
      <c r="P169">
        <f t="shared" si="25"/>
        <v>0.36259774647776993</v>
      </c>
      <c r="Q169">
        <f t="shared" si="22"/>
        <v>0</v>
      </c>
    </row>
    <row r="170" spans="2:17" x14ac:dyDescent="0.2">
      <c r="B170">
        <v>0.99257634240671322</v>
      </c>
      <c r="C170">
        <v>9.9051471933741999E-3</v>
      </c>
      <c r="D170">
        <f t="shared" si="18"/>
        <v>0.98267119521333901</v>
      </c>
      <c r="E170">
        <f t="shared" si="19"/>
        <v>1.0024814896000873</v>
      </c>
      <c r="F170">
        <f t="shared" si="20"/>
        <v>0.1434601513670439</v>
      </c>
      <c r="G170">
        <f t="shared" si="21"/>
        <v>0</v>
      </c>
      <c r="L170">
        <v>0.36443633151377608</v>
      </c>
      <c r="M170">
        <v>1.14185235790685E-3</v>
      </c>
      <c r="N170">
        <f t="shared" si="23"/>
        <v>0.36329447915586921</v>
      </c>
      <c r="O170">
        <f t="shared" si="24"/>
        <v>0.36557818387168295</v>
      </c>
      <c r="P170">
        <f t="shared" si="25"/>
        <v>0.36259774647776993</v>
      </c>
      <c r="Q170">
        <f t="shared" si="22"/>
        <v>0</v>
      </c>
    </row>
    <row r="171" spans="2:17" x14ac:dyDescent="0.2">
      <c r="B171">
        <v>0.51112711556377022</v>
      </c>
      <c r="C171">
        <v>9.9003637157663894E-3</v>
      </c>
      <c r="D171">
        <f t="shared" si="18"/>
        <v>0.5012267518480038</v>
      </c>
      <c r="E171">
        <f t="shared" si="19"/>
        <v>0.52102747927953663</v>
      </c>
      <c r="F171">
        <f t="shared" si="20"/>
        <v>0.1434601513670439</v>
      </c>
      <c r="G171">
        <f t="shared" si="21"/>
        <v>0</v>
      </c>
      <c r="L171">
        <v>0.35982308376841737</v>
      </c>
      <c r="M171">
        <v>7.3981459001744854E-3</v>
      </c>
      <c r="N171">
        <f t="shared" si="23"/>
        <v>0.35242493786824292</v>
      </c>
      <c r="O171">
        <f t="shared" si="24"/>
        <v>0.36722122966859183</v>
      </c>
      <c r="P171">
        <f t="shared" si="25"/>
        <v>0.35242493786824292</v>
      </c>
      <c r="Q171">
        <f t="shared" si="22"/>
        <v>1</v>
      </c>
    </row>
    <row r="172" spans="2:17" x14ac:dyDescent="0.2">
      <c r="B172">
        <v>0.71449591853721695</v>
      </c>
      <c r="C172">
        <v>9.8694181004846913E-3</v>
      </c>
      <c r="D172">
        <f t="shared" si="18"/>
        <v>0.70462650043673225</v>
      </c>
      <c r="E172">
        <f t="shared" si="19"/>
        <v>0.72436533663770164</v>
      </c>
      <c r="F172">
        <f t="shared" si="20"/>
        <v>0.1434601513670439</v>
      </c>
      <c r="G172">
        <f t="shared" si="21"/>
        <v>0</v>
      </c>
      <c r="L172">
        <v>0.35633569288741951</v>
      </c>
      <c r="M172">
        <v>2.707809085233322E-3</v>
      </c>
      <c r="N172">
        <f t="shared" si="23"/>
        <v>0.35362788380218618</v>
      </c>
      <c r="O172">
        <f t="shared" si="24"/>
        <v>0.35904350197265283</v>
      </c>
      <c r="P172">
        <f t="shared" si="25"/>
        <v>0.35242493786824292</v>
      </c>
      <c r="Q172">
        <f t="shared" si="22"/>
        <v>0</v>
      </c>
    </row>
    <row r="173" spans="2:17" x14ac:dyDescent="0.2">
      <c r="B173">
        <v>0.60263422497734676</v>
      </c>
      <c r="C173">
        <v>9.804417129259918E-3</v>
      </c>
      <c r="D173">
        <f t="shared" si="18"/>
        <v>0.59282980784808681</v>
      </c>
      <c r="E173">
        <f t="shared" si="19"/>
        <v>0.6124386421066067</v>
      </c>
      <c r="F173">
        <f t="shared" si="20"/>
        <v>0.1434601513670439</v>
      </c>
      <c r="G173">
        <f t="shared" si="21"/>
        <v>0</v>
      </c>
      <c r="L173">
        <v>0.34591205719919682</v>
      </c>
      <c r="M173">
        <v>8.6300508007277257E-3</v>
      </c>
      <c r="N173">
        <f t="shared" si="23"/>
        <v>0.33728200639846911</v>
      </c>
      <c r="O173">
        <f t="shared" si="24"/>
        <v>0.35454210799992453</v>
      </c>
      <c r="P173">
        <f t="shared" si="25"/>
        <v>0.33728200639846911</v>
      </c>
      <c r="Q173">
        <f t="shared" si="22"/>
        <v>1</v>
      </c>
    </row>
    <row r="174" spans="2:17" x14ac:dyDescent="0.2">
      <c r="B174">
        <v>0.51609880928158169</v>
      </c>
      <c r="C174">
        <v>9.6892921738277182E-3</v>
      </c>
      <c r="D174">
        <f t="shared" si="18"/>
        <v>0.50640951710775395</v>
      </c>
      <c r="E174">
        <f t="shared" si="19"/>
        <v>0.52578810145540944</v>
      </c>
      <c r="F174">
        <f t="shared" si="20"/>
        <v>0.1434601513670439</v>
      </c>
      <c r="G174">
        <f t="shared" si="21"/>
        <v>0</v>
      </c>
      <c r="L174">
        <v>0.33209263258878541</v>
      </c>
      <c r="M174">
        <v>1.71285786245855E-3</v>
      </c>
      <c r="N174">
        <f t="shared" si="23"/>
        <v>0.33037977472632685</v>
      </c>
      <c r="O174">
        <f t="shared" si="24"/>
        <v>0.33380549045124397</v>
      </c>
      <c r="P174">
        <f t="shared" si="25"/>
        <v>0.33037977472632685</v>
      </c>
      <c r="Q174">
        <f t="shared" si="22"/>
        <v>1</v>
      </c>
    </row>
    <row r="175" spans="2:17" x14ac:dyDescent="0.2">
      <c r="B175">
        <v>0.68064016841336938</v>
      </c>
      <c r="C175">
        <v>9.5605703641822148E-3</v>
      </c>
      <c r="D175">
        <f t="shared" si="18"/>
        <v>0.67107959804918715</v>
      </c>
      <c r="E175">
        <f t="shared" si="19"/>
        <v>0.69020073877755161</v>
      </c>
      <c r="F175">
        <f t="shared" si="20"/>
        <v>0.1434601513670439</v>
      </c>
      <c r="G175">
        <f t="shared" si="21"/>
        <v>0</v>
      </c>
      <c r="L175">
        <v>0.33050519273884932</v>
      </c>
      <c r="M175">
        <v>1.0064982028219789E-2</v>
      </c>
      <c r="N175">
        <f t="shared" si="23"/>
        <v>0.3204402107106295</v>
      </c>
      <c r="O175">
        <f t="shared" si="24"/>
        <v>0.34057017476706913</v>
      </c>
      <c r="P175">
        <f t="shared" si="25"/>
        <v>0.33037977472632685</v>
      </c>
      <c r="Q175">
        <f t="shared" si="22"/>
        <v>0</v>
      </c>
    </row>
    <row r="176" spans="2:17" x14ac:dyDescent="0.2">
      <c r="B176">
        <v>0.52041210263887039</v>
      </c>
      <c r="C176">
        <v>9.4266062615136134E-3</v>
      </c>
      <c r="D176">
        <f t="shared" si="18"/>
        <v>0.5109854963773568</v>
      </c>
      <c r="E176">
        <f t="shared" si="19"/>
        <v>0.52983870890038398</v>
      </c>
      <c r="F176">
        <f t="shared" si="20"/>
        <v>0.1434601513670439</v>
      </c>
      <c r="G176">
        <f t="shared" si="21"/>
        <v>0</v>
      </c>
      <c r="L176">
        <v>0.3182625590165406</v>
      </c>
      <c r="M176">
        <v>1.3868866505368701E-2</v>
      </c>
      <c r="N176">
        <f t="shared" si="23"/>
        <v>0.30439369251117188</v>
      </c>
      <c r="O176">
        <f t="shared" si="24"/>
        <v>0.33213142552190933</v>
      </c>
      <c r="P176">
        <f t="shared" si="25"/>
        <v>0.30439369251117188</v>
      </c>
      <c r="Q176">
        <f t="shared" si="22"/>
        <v>1</v>
      </c>
    </row>
    <row r="177" spans="2:17" x14ac:dyDescent="0.2">
      <c r="B177">
        <v>0.78223662920016324</v>
      </c>
      <c r="C177">
        <v>9.3034962368885987E-3</v>
      </c>
      <c r="D177">
        <f t="shared" si="18"/>
        <v>0.77293313296327459</v>
      </c>
      <c r="E177">
        <f t="shared" si="19"/>
        <v>0.79154012543705188</v>
      </c>
      <c r="F177">
        <f t="shared" si="20"/>
        <v>0.1434601513670439</v>
      </c>
      <c r="G177">
        <f t="shared" si="21"/>
        <v>0</v>
      </c>
      <c r="L177">
        <v>0.3103873979250672</v>
      </c>
      <c r="M177">
        <v>1.0859443940033501E-2</v>
      </c>
      <c r="N177">
        <f t="shared" si="23"/>
        <v>0.29952795398503368</v>
      </c>
      <c r="O177">
        <f t="shared" si="24"/>
        <v>0.32124684186510072</v>
      </c>
      <c r="P177">
        <f t="shared" si="25"/>
        <v>0.30439369251117188</v>
      </c>
      <c r="Q177">
        <f t="shared" si="22"/>
        <v>0</v>
      </c>
    </row>
    <row r="178" spans="2:17" x14ac:dyDescent="0.2">
      <c r="B178">
        <v>0.44821658489176108</v>
      </c>
      <c r="C178">
        <v>9.1988579553878291E-3</v>
      </c>
      <c r="D178">
        <f t="shared" si="18"/>
        <v>0.43901772693637325</v>
      </c>
      <c r="E178">
        <f t="shared" si="19"/>
        <v>0.45741544284714891</v>
      </c>
      <c r="F178">
        <f t="shared" si="20"/>
        <v>0.1434601513670439</v>
      </c>
      <c r="G178">
        <f t="shared" si="21"/>
        <v>0</v>
      </c>
      <c r="L178">
        <v>0.30658490851062598</v>
      </c>
      <c r="M178">
        <v>1.332244245154578E-2</v>
      </c>
      <c r="N178">
        <f t="shared" si="23"/>
        <v>0.29326246605908018</v>
      </c>
      <c r="O178">
        <f t="shared" si="24"/>
        <v>0.31990735096217177</v>
      </c>
      <c r="P178">
        <f t="shared" si="25"/>
        <v>0.30439369251117188</v>
      </c>
      <c r="Q178">
        <f t="shared" si="22"/>
        <v>0</v>
      </c>
    </row>
    <row r="179" spans="2:17" x14ac:dyDescent="0.2">
      <c r="B179">
        <v>0.81047235421136421</v>
      </c>
      <c r="C179">
        <v>8.8868664621583552E-3</v>
      </c>
      <c r="D179">
        <f t="shared" si="18"/>
        <v>0.8015854877492059</v>
      </c>
      <c r="E179">
        <f t="shared" si="19"/>
        <v>0.81935922067352251</v>
      </c>
      <c r="F179">
        <f t="shared" si="20"/>
        <v>0.1434601513670439</v>
      </c>
      <c r="G179">
        <f t="shared" si="21"/>
        <v>0</v>
      </c>
      <c r="L179">
        <v>0.30462350202400651</v>
      </c>
      <c r="M179">
        <v>1.8752373116772272E-2</v>
      </c>
      <c r="N179">
        <f t="shared" si="23"/>
        <v>0.28587112890723426</v>
      </c>
      <c r="O179">
        <f t="shared" si="24"/>
        <v>0.32337587514077876</v>
      </c>
      <c r="P179">
        <f t="shared" si="25"/>
        <v>0.30439369251117188</v>
      </c>
      <c r="Q179">
        <f t="shared" si="22"/>
        <v>0</v>
      </c>
    </row>
    <row r="180" spans="2:17" x14ac:dyDescent="0.2">
      <c r="B180">
        <v>0.45098501895393572</v>
      </c>
      <c r="C180">
        <v>8.8015052671100522E-3</v>
      </c>
      <c r="D180">
        <f t="shared" si="18"/>
        <v>0.44218351368682568</v>
      </c>
      <c r="E180">
        <f t="shared" si="19"/>
        <v>0.45978652422104577</v>
      </c>
      <c r="F180">
        <f t="shared" si="20"/>
        <v>0.1434601513670439</v>
      </c>
      <c r="G180">
        <f t="shared" si="21"/>
        <v>0</v>
      </c>
      <c r="L180">
        <v>0.30035088832481011</v>
      </c>
      <c r="M180">
        <v>1.1206178661602941E-3</v>
      </c>
      <c r="N180">
        <f t="shared" si="23"/>
        <v>0.29923027045864981</v>
      </c>
      <c r="O180">
        <f t="shared" si="24"/>
        <v>0.30147150619097041</v>
      </c>
      <c r="P180">
        <f t="shared" si="25"/>
        <v>0.29923027045864981</v>
      </c>
      <c r="Q180">
        <f t="shared" si="22"/>
        <v>1</v>
      </c>
    </row>
    <row r="181" spans="2:17" x14ac:dyDescent="0.2">
      <c r="B181">
        <v>0.48816324580052972</v>
      </c>
      <c r="C181">
        <v>8.6987900905289503E-3</v>
      </c>
      <c r="D181">
        <f t="shared" si="18"/>
        <v>0.47946445571000079</v>
      </c>
      <c r="E181">
        <f t="shared" si="19"/>
        <v>0.49686203589105865</v>
      </c>
      <c r="F181">
        <f t="shared" si="20"/>
        <v>0.1434601513670439</v>
      </c>
      <c r="G181">
        <f t="shared" si="21"/>
        <v>0</v>
      </c>
      <c r="L181">
        <v>0.28667841177805509</v>
      </c>
      <c r="M181">
        <v>1.179357393996594E-2</v>
      </c>
      <c r="N181">
        <f t="shared" si="23"/>
        <v>0.27488483783808915</v>
      </c>
      <c r="O181">
        <f t="shared" si="24"/>
        <v>0.29847198571802103</v>
      </c>
      <c r="P181">
        <f t="shared" si="25"/>
        <v>0.27488483783808915</v>
      </c>
      <c r="Q181">
        <f t="shared" si="22"/>
        <v>1</v>
      </c>
    </row>
    <row r="182" spans="2:17" x14ac:dyDescent="0.2">
      <c r="B182">
        <v>0.34591205719919682</v>
      </c>
      <c r="C182">
        <v>8.6300508007277257E-3</v>
      </c>
      <c r="D182">
        <f t="shared" si="18"/>
        <v>0.33728200639846911</v>
      </c>
      <c r="E182">
        <f t="shared" si="19"/>
        <v>0.35454210799992453</v>
      </c>
      <c r="F182">
        <f t="shared" si="20"/>
        <v>0.1434601513670439</v>
      </c>
      <c r="G182">
        <f t="shared" si="21"/>
        <v>0</v>
      </c>
      <c r="L182">
        <v>0.28623510114465262</v>
      </c>
      <c r="M182">
        <v>1.983623309944647E-2</v>
      </c>
      <c r="N182">
        <f t="shared" si="23"/>
        <v>0.26639886804520613</v>
      </c>
      <c r="O182">
        <f t="shared" si="24"/>
        <v>0.3060713342440991</v>
      </c>
      <c r="P182">
        <f t="shared" si="25"/>
        <v>0.27488483783808915</v>
      </c>
      <c r="Q182">
        <f t="shared" si="22"/>
        <v>0</v>
      </c>
    </row>
    <row r="183" spans="2:17" x14ac:dyDescent="0.2">
      <c r="B183">
        <v>0.46638163584106163</v>
      </c>
      <c r="C183">
        <v>8.627212189699144E-3</v>
      </c>
      <c r="D183">
        <f t="shared" si="18"/>
        <v>0.45775442365136249</v>
      </c>
      <c r="E183">
        <f t="shared" si="19"/>
        <v>0.47500884803076077</v>
      </c>
      <c r="F183">
        <f t="shared" si="20"/>
        <v>0.1434601513670439</v>
      </c>
      <c r="G183">
        <f t="shared" si="21"/>
        <v>0</v>
      </c>
      <c r="L183">
        <v>0.27311003195332723</v>
      </c>
      <c r="M183">
        <v>1.42262375708025E-2</v>
      </c>
      <c r="N183">
        <f t="shared" si="23"/>
        <v>0.25888379438252473</v>
      </c>
      <c r="O183">
        <f t="shared" si="24"/>
        <v>0.28733626952412972</v>
      </c>
      <c r="P183">
        <f t="shared" si="25"/>
        <v>0.25888379438252473</v>
      </c>
      <c r="Q183">
        <f t="shared" si="22"/>
        <v>1</v>
      </c>
    </row>
    <row r="184" spans="2:17" x14ac:dyDescent="0.2">
      <c r="B184">
        <v>0.79235793636783725</v>
      </c>
      <c r="C184">
        <v>8.5253542053357802E-3</v>
      </c>
      <c r="D184">
        <f t="shared" si="18"/>
        <v>0.78383258216250151</v>
      </c>
      <c r="E184">
        <f t="shared" si="19"/>
        <v>0.80088329057317298</v>
      </c>
      <c r="F184">
        <f t="shared" si="20"/>
        <v>0.1434601513670439</v>
      </c>
      <c r="G184">
        <f t="shared" si="21"/>
        <v>0</v>
      </c>
      <c r="L184">
        <v>0.25789135087492671</v>
      </c>
      <c r="M184">
        <v>1.8177135222527719E-2</v>
      </c>
      <c r="N184">
        <f t="shared" si="23"/>
        <v>0.23971421565239898</v>
      </c>
      <c r="O184">
        <f t="shared" si="24"/>
        <v>0.27606848609745444</v>
      </c>
      <c r="P184">
        <f t="shared" si="25"/>
        <v>0.23971421565239898</v>
      </c>
      <c r="Q184">
        <f t="shared" si="22"/>
        <v>1</v>
      </c>
    </row>
    <row r="185" spans="2:17" x14ac:dyDescent="0.2">
      <c r="B185">
        <v>0.60038047094926505</v>
      </c>
      <c r="C185">
        <v>8.3627670827392201E-3</v>
      </c>
      <c r="D185">
        <f t="shared" si="18"/>
        <v>0.59201770386652586</v>
      </c>
      <c r="E185">
        <f t="shared" si="19"/>
        <v>0.60874323803200425</v>
      </c>
      <c r="F185">
        <f t="shared" si="20"/>
        <v>0.1434601513670439</v>
      </c>
      <c r="G185">
        <f t="shared" si="21"/>
        <v>0</v>
      </c>
      <c r="L185">
        <v>0.24079649550767129</v>
      </c>
      <c r="M185">
        <v>1.752340028688552E-2</v>
      </c>
      <c r="N185">
        <f t="shared" si="23"/>
        <v>0.22327309522078578</v>
      </c>
      <c r="O185">
        <f t="shared" si="24"/>
        <v>0.25831989579455683</v>
      </c>
      <c r="P185">
        <f t="shared" si="25"/>
        <v>0.23971421565239898</v>
      </c>
      <c r="Q185">
        <f t="shared" si="22"/>
        <v>0</v>
      </c>
    </row>
    <row r="186" spans="2:17" x14ac:dyDescent="0.2">
      <c r="B186">
        <v>0.76652893619289453</v>
      </c>
      <c r="C186">
        <v>8.3570130085490121E-3</v>
      </c>
      <c r="D186">
        <f t="shared" si="18"/>
        <v>0.75817192318434556</v>
      </c>
      <c r="E186">
        <f t="shared" si="19"/>
        <v>0.77488594920144349</v>
      </c>
      <c r="F186">
        <f t="shared" si="20"/>
        <v>0.1434601513670439</v>
      </c>
      <c r="G186">
        <f t="shared" si="21"/>
        <v>0</v>
      </c>
      <c r="L186">
        <v>0.20786819242448551</v>
      </c>
      <c r="M186">
        <v>1.313104471388063E-2</v>
      </c>
      <c r="N186">
        <f t="shared" si="23"/>
        <v>0.19473714771060488</v>
      </c>
      <c r="O186">
        <f t="shared" si="24"/>
        <v>0.22099923713836614</v>
      </c>
      <c r="P186">
        <f t="shared" si="25"/>
        <v>0.19473714771060488</v>
      </c>
      <c r="Q186">
        <f t="shared" si="22"/>
        <v>1</v>
      </c>
    </row>
    <row r="187" spans="2:17" x14ac:dyDescent="0.2">
      <c r="B187">
        <v>0.71727603293879927</v>
      </c>
      <c r="C187">
        <v>8.2142811712026149E-3</v>
      </c>
      <c r="D187">
        <f t="shared" si="18"/>
        <v>0.70906175176759667</v>
      </c>
      <c r="E187">
        <f t="shared" si="19"/>
        <v>0.72549031411000187</v>
      </c>
      <c r="F187">
        <f t="shared" si="20"/>
        <v>0.1434601513670439</v>
      </c>
      <c r="G187">
        <f t="shared" si="21"/>
        <v>0</v>
      </c>
      <c r="L187">
        <v>0.19672122896831251</v>
      </c>
      <c r="M187">
        <v>1.17811873430172E-2</v>
      </c>
      <c r="N187">
        <f t="shared" si="23"/>
        <v>0.18494004162529531</v>
      </c>
      <c r="O187">
        <f t="shared" si="24"/>
        <v>0.20850241631132971</v>
      </c>
      <c r="P187">
        <f t="shared" si="25"/>
        <v>0.19473714771060488</v>
      </c>
      <c r="Q187">
        <f t="shared" si="22"/>
        <v>0</v>
      </c>
    </row>
    <row r="188" spans="2:17" x14ac:dyDescent="0.2">
      <c r="B188">
        <v>0.36725700444894321</v>
      </c>
      <c r="C188">
        <v>8.0383961106445054E-3</v>
      </c>
      <c r="D188">
        <f t="shared" si="18"/>
        <v>0.35921860833829872</v>
      </c>
      <c r="E188">
        <f t="shared" si="19"/>
        <v>0.37529540055958771</v>
      </c>
      <c r="F188">
        <f t="shared" si="20"/>
        <v>0.1434601513670439</v>
      </c>
      <c r="G188">
        <f t="shared" si="21"/>
        <v>0</v>
      </c>
      <c r="L188">
        <v>0.19622108314961689</v>
      </c>
      <c r="M188">
        <v>3.616756545709547E-3</v>
      </c>
      <c r="N188">
        <f t="shared" si="23"/>
        <v>0.19260432660390733</v>
      </c>
      <c r="O188">
        <f t="shared" si="24"/>
        <v>0.19983783969532645</v>
      </c>
      <c r="P188">
        <f t="shared" si="25"/>
        <v>0.19473714771060488</v>
      </c>
      <c r="Q188">
        <f t="shared" si="22"/>
        <v>0</v>
      </c>
    </row>
    <row r="189" spans="2:17" x14ac:dyDescent="0.2">
      <c r="B189">
        <v>0.47688878290500009</v>
      </c>
      <c r="C189">
        <v>8.0344778856528097E-3</v>
      </c>
      <c r="D189">
        <f t="shared" si="18"/>
        <v>0.46885430501934727</v>
      </c>
      <c r="E189">
        <f t="shared" si="19"/>
        <v>0.4849232607906529</v>
      </c>
      <c r="F189">
        <f t="shared" si="20"/>
        <v>0.1434601513670439</v>
      </c>
      <c r="G189">
        <f t="shared" si="21"/>
        <v>0</v>
      </c>
      <c r="L189">
        <v>0.17180131922216341</v>
      </c>
      <c r="M189">
        <v>1.380503741031845E-2</v>
      </c>
      <c r="N189">
        <f t="shared" si="23"/>
        <v>0.15799628181184497</v>
      </c>
      <c r="O189">
        <f t="shared" si="24"/>
        <v>0.18560635663248184</v>
      </c>
      <c r="P189">
        <f t="shared" si="25"/>
        <v>0.15799628181184497</v>
      </c>
      <c r="Q189">
        <f t="shared" si="22"/>
        <v>1</v>
      </c>
    </row>
    <row r="190" spans="2:17" x14ac:dyDescent="0.2">
      <c r="B190">
        <v>0.50884043407504731</v>
      </c>
      <c r="C190">
        <v>7.9913216928039314E-3</v>
      </c>
      <c r="D190">
        <f t="shared" si="18"/>
        <v>0.50084911238224339</v>
      </c>
      <c r="E190">
        <f t="shared" si="19"/>
        <v>0.51683175576785123</v>
      </c>
      <c r="F190">
        <f t="shared" si="20"/>
        <v>0.1434601513670439</v>
      </c>
      <c r="G190">
        <f t="shared" si="21"/>
        <v>0</v>
      </c>
      <c r="L190">
        <v>0.1707845273051608</v>
      </c>
      <c r="M190">
        <v>4.1372348498160526E-3</v>
      </c>
      <c r="N190">
        <f t="shared" si="23"/>
        <v>0.16664729245534476</v>
      </c>
      <c r="O190">
        <f t="shared" si="24"/>
        <v>0.17492176215497685</v>
      </c>
      <c r="P190">
        <f t="shared" si="25"/>
        <v>0.15799628181184497</v>
      </c>
      <c r="Q190">
        <f t="shared" si="22"/>
        <v>0</v>
      </c>
    </row>
    <row r="191" spans="2:17" x14ac:dyDescent="0.2">
      <c r="B191">
        <v>0.54674039321791479</v>
      </c>
      <c r="C191">
        <v>7.9876469566824305E-3</v>
      </c>
      <c r="D191">
        <f t="shared" si="18"/>
        <v>0.53875274626123237</v>
      </c>
      <c r="E191">
        <f t="shared" si="19"/>
        <v>0.5547280401745972</v>
      </c>
      <c r="F191">
        <f t="shared" si="20"/>
        <v>0.1434601513670439</v>
      </c>
      <c r="G191">
        <f t="shared" si="21"/>
        <v>0</v>
      </c>
      <c r="L191">
        <v>0.1670206821999288</v>
      </c>
      <c r="M191">
        <v>1.400625161751482E-2</v>
      </c>
      <c r="N191">
        <f t="shared" si="23"/>
        <v>0.15301443058241398</v>
      </c>
      <c r="O191">
        <f t="shared" si="24"/>
        <v>0.18102693381744361</v>
      </c>
      <c r="P191">
        <f t="shared" si="25"/>
        <v>0.15799628181184497</v>
      </c>
      <c r="Q191">
        <f t="shared" si="22"/>
        <v>0</v>
      </c>
    </row>
    <row r="192" spans="2:17" x14ac:dyDescent="0.2">
      <c r="B192">
        <v>0.61398404002864582</v>
      </c>
      <c r="C192">
        <v>7.9847201489404197E-3</v>
      </c>
      <c r="D192">
        <f t="shared" si="18"/>
        <v>0.60599931987970534</v>
      </c>
      <c r="E192">
        <f t="shared" si="19"/>
        <v>0.62196876017758629</v>
      </c>
      <c r="F192">
        <f t="shared" si="20"/>
        <v>0.1434601513670439</v>
      </c>
      <c r="G192">
        <f t="shared" si="21"/>
        <v>0</v>
      </c>
      <c r="L192">
        <v>0.16440567203609069</v>
      </c>
      <c r="M192">
        <v>3.4522846019748011E-3</v>
      </c>
      <c r="N192">
        <f t="shared" si="23"/>
        <v>0.16095338743411589</v>
      </c>
      <c r="O192">
        <f t="shared" si="24"/>
        <v>0.16785795663806549</v>
      </c>
      <c r="P192">
        <f t="shared" si="25"/>
        <v>0.15799628181184497</v>
      </c>
      <c r="Q192">
        <f t="shared" si="22"/>
        <v>0</v>
      </c>
    </row>
    <row r="193" spans="2:17" x14ac:dyDescent="0.2">
      <c r="B193">
        <v>0.46548953757131678</v>
      </c>
      <c r="C193">
        <v>7.9809867064142472E-3</v>
      </c>
      <c r="D193">
        <f t="shared" si="18"/>
        <v>0.45750855086490255</v>
      </c>
      <c r="E193">
        <f t="shared" si="19"/>
        <v>0.47347052427773101</v>
      </c>
      <c r="F193">
        <f t="shared" si="20"/>
        <v>0.1434601513670439</v>
      </c>
      <c r="G193">
        <f t="shared" si="21"/>
        <v>0</v>
      </c>
      <c r="L193">
        <v>0.16134567490005369</v>
      </c>
      <c r="M193">
        <v>1.7885523533009779E-2</v>
      </c>
      <c r="N193">
        <f t="shared" si="23"/>
        <v>0.1434601513670439</v>
      </c>
      <c r="O193">
        <f t="shared" si="24"/>
        <v>0.17923119843306348</v>
      </c>
      <c r="P193">
        <f t="shared" si="25"/>
        <v>0.15799628181184497</v>
      </c>
      <c r="Q193">
        <f t="shared" si="22"/>
        <v>0</v>
      </c>
    </row>
    <row r="194" spans="2:17" x14ac:dyDescent="0.2">
      <c r="B194">
        <v>0.61675277301718301</v>
      </c>
      <c r="C194">
        <v>7.9230982780971338E-3</v>
      </c>
      <c r="D194">
        <f t="shared" si="18"/>
        <v>0.60882967473908589</v>
      </c>
      <c r="E194">
        <f t="shared" si="19"/>
        <v>0.62467587129528013</v>
      </c>
      <c r="F194">
        <f t="shared" si="20"/>
        <v>0.1434601513670439</v>
      </c>
      <c r="G194">
        <f t="shared" si="21"/>
        <v>0</v>
      </c>
      <c r="L194">
        <v>0.15566755708845659</v>
      </c>
      <c r="M194">
        <v>1.4879915179845561E-2</v>
      </c>
      <c r="N194">
        <f t="shared" si="23"/>
        <v>0.14078764190861104</v>
      </c>
      <c r="O194">
        <f t="shared" si="24"/>
        <v>0.17054747226830214</v>
      </c>
      <c r="P194">
        <f t="shared" si="25"/>
        <v>0.14078764190861104</v>
      </c>
      <c r="Q194">
        <f t="shared" si="22"/>
        <v>1</v>
      </c>
    </row>
    <row r="195" spans="2:17" x14ac:dyDescent="0.2">
      <c r="B195">
        <v>0.59412662643901271</v>
      </c>
      <c r="C195">
        <v>7.7382065490691748E-3</v>
      </c>
      <c r="D195">
        <f t="shared" ref="D195:D258" si="26">B195-C195</f>
        <v>0.5863884198899435</v>
      </c>
      <c r="E195">
        <f t="shared" ref="E195:E258" si="27">B195+C195</f>
        <v>0.60186483298808191</v>
      </c>
      <c r="F195">
        <f t="shared" si="20"/>
        <v>0.1434601513670439</v>
      </c>
      <c r="G195">
        <f t="shared" si="21"/>
        <v>0</v>
      </c>
      <c r="L195">
        <v>0.13529376045531091</v>
      </c>
      <c r="M195">
        <v>3.475350910985729E-3</v>
      </c>
      <c r="N195">
        <f t="shared" si="23"/>
        <v>0.13181840954432519</v>
      </c>
      <c r="O195">
        <f t="shared" si="24"/>
        <v>0.13876911136629663</v>
      </c>
      <c r="P195">
        <f t="shared" si="25"/>
        <v>0.13181840954432519</v>
      </c>
      <c r="Q195">
        <f t="shared" si="22"/>
        <v>1</v>
      </c>
    </row>
    <row r="196" spans="2:17" x14ac:dyDescent="0.2">
      <c r="B196">
        <v>0.69283823321435922</v>
      </c>
      <c r="C196">
        <v>7.7279653570898983E-3</v>
      </c>
      <c r="D196">
        <f t="shared" si="26"/>
        <v>0.68511026785726936</v>
      </c>
      <c r="E196">
        <f t="shared" si="27"/>
        <v>0.70056619857144908</v>
      </c>
      <c r="F196">
        <f t="shared" ref="F196:F259" si="28">IF(B196&gt;F195,F195,D196)</f>
        <v>0.1434601513670439</v>
      </c>
      <c r="G196">
        <f t="shared" ref="G196:G259" si="29">IF(F196=F195,0,1)</f>
        <v>0</v>
      </c>
      <c r="L196">
        <v>8.4458622385350957E-2</v>
      </c>
      <c r="M196">
        <v>5.1345086589084481E-3</v>
      </c>
      <c r="N196">
        <f t="shared" si="23"/>
        <v>7.9324113726442505E-2</v>
      </c>
      <c r="O196">
        <f t="shared" si="24"/>
        <v>8.9593131044259408E-2</v>
      </c>
      <c r="P196">
        <f t="shared" si="25"/>
        <v>7.9324113726442505E-2</v>
      </c>
      <c r="Q196">
        <f t="shared" ref="Q196:Q197" si="30">IF(P196=P195,0,1)</f>
        <v>1</v>
      </c>
    </row>
    <row r="197" spans="2:17" x14ac:dyDescent="0.2">
      <c r="B197">
        <v>0.52537446318020464</v>
      </c>
      <c r="C197">
        <v>7.6645624894044516E-3</v>
      </c>
      <c r="D197">
        <f t="shared" si="26"/>
        <v>0.51770990069080014</v>
      </c>
      <c r="E197">
        <f t="shared" si="27"/>
        <v>0.53303902566960915</v>
      </c>
      <c r="F197">
        <f t="shared" si="28"/>
        <v>0.1434601513670439</v>
      </c>
      <c r="G197">
        <f t="shared" si="29"/>
        <v>0</v>
      </c>
      <c r="L197">
        <v>7.4563506311372332E-2</v>
      </c>
      <c r="M197">
        <v>1.5037073205719309E-3</v>
      </c>
      <c r="N197">
        <f t="shared" ref="N197" si="31">L197-M197</f>
        <v>7.3059798990800395E-2</v>
      </c>
      <c r="O197">
        <f t="shared" ref="O197" si="32">L197+M197</f>
        <v>7.6067213631944269E-2</v>
      </c>
      <c r="P197">
        <f t="shared" ref="P197" si="33">IF(L197&gt;P196,P196,N197)</f>
        <v>7.3059798990800395E-2</v>
      </c>
      <c r="Q197">
        <f t="shared" si="30"/>
        <v>1</v>
      </c>
    </row>
    <row r="198" spans="2:17" x14ac:dyDescent="0.2">
      <c r="B198">
        <v>0.84308337506646214</v>
      </c>
      <c r="C198">
        <v>7.5839128856669486E-3</v>
      </c>
      <c r="D198">
        <f t="shared" si="26"/>
        <v>0.83549946218079518</v>
      </c>
      <c r="E198">
        <f t="shared" si="27"/>
        <v>0.85066728795212909</v>
      </c>
      <c r="F198">
        <f t="shared" si="28"/>
        <v>0.1434601513670439</v>
      </c>
      <c r="G198">
        <f t="shared" si="29"/>
        <v>0</v>
      </c>
    </row>
    <row r="199" spans="2:17" x14ac:dyDescent="0.2">
      <c r="B199">
        <v>0.49290239797995372</v>
      </c>
      <c r="C199">
        <v>7.5193766450612504E-3</v>
      </c>
      <c r="D199">
        <f t="shared" si="26"/>
        <v>0.48538302133489247</v>
      </c>
      <c r="E199">
        <f t="shared" si="27"/>
        <v>0.50042177462501503</v>
      </c>
      <c r="F199">
        <f t="shared" si="28"/>
        <v>0.1434601513670439</v>
      </c>
      <c r="G199">
        <f t="shared" si="29"/>
        <v>0</v>
      </c>
    </row>
    <row r="200" spans="2:17" x14ac:dyDescent="0.2">
      <c r="B200">
        <v>0.67634146914821469</v>
      </c>
      <c r="C200">
        <v>7.4351753328947808E-3</v>
      </c>
      <c r="D200">
        <f t="shared" si="26"/>
        <v>0.66890629381531996</v>
      </c>
      <c r="E200">
        <f t="shared" si="27"/>
        <v>0.68377664448110942</v>
      </c>
      <c r="F200">
        <f t="shared" si="28"/>
        <v>0.1434601513670439</v>
      </c>
      <c r="G200">
        <f t="shared" si="29"/>
        <v>0</v>
      </c>
    </row>
    <row r="201" spans="2:17" x14ac:dyDescent="0.2">
      <c r="B201">
        <v>0.35982308376841737</v>
      </c>
      <c r="C201">
        <v>7.3981459001744854E-3</v>
      </c>
      <c r="D201">
        <f t="shared" si="26"/>
        <v>0.35242493786824292</v>
      </c>
      <c r="E201">
        <f t="shared" si="27"/>
        <v>0.36722122966859183</v>
      </c>
      <c r="F201">
        <f t="shared" si="28"/>
        <v>0.1434601513670439</v>
      </c>
      <c r="G201">
        <f t="shared" si="29"/>
        <v>0</v>
      </c>
    </row>
    <row r="202" spans="2:17" x14ac:dyDescent="0.2">
      <c r="B202">
        <v>0.61833377633816888</v>
      </c>
      <c r="C202">
        <v>7.2754748017715212E-3</v>
      </c>
      <c r="D202">
        <f t="shared" si="26"/>
        <v>0.6110583015363974</v>
      </c>
      <c r="E202">
        <f t="shared" si="27"/>
        <v>0.62560925113994037</v>
      </c>
      <c r="F202">
        <f t="shared" si="28"/>
        <v>0.1434601513670439</v>
      </c>
      <c r="G202">
        <f t="shared" si="29"/>
        <v>0</v>
      </c>
    </row>
    <row r="203" spans="2:17" x14ac:dyDescent="0.2">
      <c r="B203">
        <v>0.36984629833047228</v>
      </c>
      <c r="C203">
        <v>7.2485518527023287E-3</v>
      </c>
      <c r="D203">
        <f t="shared" si="26"/>
        <v>0.36259774647776993</v>
      </c>
      <c r="E203">
        <f t="shared" si="27"/>
        <v>0.37709485018317462</v>
      </c>
      <c r="F203">
        <f t="shared" si="28"/>
        <v>0.1434601513670439</v>
      </c>
      <c r="G203">
        <f t="shared" si="29"/>
        <v>0</v>
      </c>
    </row>
    <row r="204" spans="2:17" x14ac:dyDescent="0.2">
      <c r="B204">
        <v>0.60893044652887773</v>
      </c>
      <c r="C204">
        <v>7.200705410837587E-3</v>
      </c>
      <c r="D204">
        <f t="shared" si="26"/>
        <v>0.60172974111804012</v>
      </c>
      <c r="E204">
        <f t="shared" si="27"/>
        <v>0.61613115193971535</v>
      </c>
      <c r="F204">
        <f t="shared" si="28"/>
        <v>0.1434601513670439</v>
      </c>
      <c r="G204">
        <f t="shared" si="29"/>
        <v>0</v>
      </c>
    </row>
    <row r="205" spans="2:17" x14ac:dyDescent="0.2">
      <c r="B205">
        <v>0.45286894161986169</v>
      </c>
      <c r="C205">
        <v>6.9406696631654288E-3</v>
      </c>
      <c r="D205">
        <f t="shared" si="26"/>
        <v>0.44592827195669626</v>
      </c>
      <c r="E205">
        <f t="shared" si="27"/>
        <v>0.45980961128302711</v>
      </c>
      <c r="F205">
        <f t="shared" si="28"/>
        <v>0.1434601513670439</v>
      </c>
      <c r="G205">
        <f t="shared" si="29"/>
        <v>0</v>
      </c>
    </row>
    <row r="206" spans="2:17" x14ac:dyDescent="0.2">
      <c r="B206">
        <v>0.5069275588793426</v>
      </c>
      <c r="C206">
        <v>6.6612852950861407E-3</v>
      </c>
      <c r="D206">
        <f t="shared" si="26"/>
        <v>0.50026627358425646</v>
      </c>
      <c r="E206">
        <f t="shared" si="27"/>
        <v>0.51358884417442874</v>
      </c>
      <c r="F206">
        <f t="shared" si="28"/>
        <v>0.1434601513670439</v>
      </c>
      <c r="G206">
        <f t="shared" si="29"/>
        <v>0</v>
      </c>
    </row>
    <row r="207" spans="2:17" x14ac:dyDescent="0.2">
      <c r="B207">
        <v>0.4652064586147398</v>
      </c>
      <c r="C207">
        <v>6.5188749716355073E-3</v>
      </c>
      <c r="D207">
        <f t="shared" si="26"/>
        <v>0.4586875836431043</v>
      </c>
      <c r="E207">
        <f t="shared" si="27"/>
        <v>0.47172533358637531</v>
      </c>
      <c r="F207">
        <f t="shared" si="28"/>
        <v>0.1434601513670439</v>
      </c>
      <c r="G207">
        <f t="shared" si="29"/>
        <v>0</v>
      </c>
    </row>
    <row r="208" spans="2:17" x14ac:dyDescent="0.2">
      <c r="B208">
        <v>0.57846570163285538</v>
      </c>
      <c r="C208">
        <v>6.3275101071999483E-3</v>
      </c>
      <c r="D208">
        <f t="shared" si="26"/>
        <v>0.57213819152565548</v>
      </c>
      <c r="E208">
        <f t="shared" si="27"/>
        <v>0.58479321174005527</v>
      </c>
      <c r="F208">
        <f t="shared" si="28"/>
        <v>0.1434601513670439</v>
      </c>
      <c r="G208">
        <f t="shared" si="29"/>
        <v>0</v>
      </c>
    </row>
    <row r="209" spans="2:7" x14ac:dyDescent="0.2">
      <c r="B209">
        <v>0.89931199347118118</v>
      </c>
      <c r="C209">
        <v>6.1023433734117916E-3</v>
      </c>
      <c r="D209">
        <f t="shared" si="26"/>
        <v>0.89320965009776943</v>
      </c>
      <c r="E209">
        <f t="shared" si="27"/>
        <v>0.90541433684459294</v>
      </c>
      <c r="F209">
        <f t="shared" si="28"/>
        <v>0.1434601513670439</v>
      </c>
      <c r="G209">
        <f t="shared" si="29"/>
        <v>0</v>
      </c>
    </row>
    <row r="210" spans="2:7" x14ac:dyDescent="0.2">
      <c r="B210">
        <v>0.79114492981941831</v>
      </c>
      <c r="C210">
        <v>5.8936630547841134E-3</v>
      </c>
      <c r="D210">
        <f t="shared" si="26"/>
        <v>0.78525126676463419</v>
      </c>
      <c r="E210">
        <f t="shared" si="27"/>
        <v>0.79703859287420242</v>
      </c>
      <c r="F210">
        <f t="shared" si="28"/>
        <v>0.1434601513670439</v>
      </c>
      <c r="G210">
        <f t="shared" si="29"/>
        <v>0</v>
      </c>
    </row>
    <row r="211" spans="2:7" x14ac:dyDescent="0.2">
      <c r="B211">
        <v>0.37601430176682649</v>
      </c>
      <c r="C211">
        <v>5.8191112966586144E-3</v>
      </c>
      <c r="D211">
        <f t="shared" si="26"/>
        <v>0.37019519047016786</v>
      </c>
      <c r="E211">
        <f t="shared" si="27"/>
        <v>0.38183341306348512</v>
      </c>
      <c r="F211">
        <f t="shared" si="28"/>
        <v>0.1434601513670439</v>
      </c>
      <c r="G211">
        <f t="shared" si="29"/>
        <v>0</v>
      </c>
    </row>
    <row r="212" spans="2:7" x14ac:dyDescent="0.2">
      <c r="B212">
        <v>0.47803306489143249</v>
      </c>
      <c r="C212">
        <v>5.7174241468143519E-3</v>
      </c>
      <c r="D212">
        <f t="shared" si="26"/>
        <v>0.47231564074461813</v>
      </c>
      <c r="E212">
        <f t="shared" si="27"/>
        <v>0.48375048903824686</v>
      </c>
      <c r="F212">
        <f t="shared" si="28"/>
        <v>0.1434601513670439</v>
      </c>
      <c r="G212">
        <f t="shared" si="29"/>
        <v>0</v>
      </c>
    </row>
    <row r="213" spans="2:7" x14ac:dyDescent="0.2">
      <c r="B213">
        <v>0.56664250739446853</v>
      </c>
      <c r="C213">
        <v>5.7041708547224436E-3</v>
      </c>
      <c r="D213">
        <f t="shared" si="26"/>
        <v>0.56093833653974612</v>
      </c>
      <c r="E213">
        <f t="shared" si="27"/>
        <v>0.57234667824919094</v>
      </c>
      <c r="F213">
        <f t="shared" si="28"/>
        <v>0.1434601513670439</v>
      </c>
      <c r="G213">
        <f t="shared" si="29"/>
        <v>0</v>
      </c>
    </row>
    <row r="214" spans="2:7" x14ac:dyDescent="0.2">
      <c r="B214">
        <v>0.67033160280138182</v>
      </c>
      <c r="C214">
        <v>5.6348969423995711E-3</v>
      </c>
      <c r="D214">
        <f t="shared" si="26"/>
        <v>0.66469670585898222</v>
      </c>
      <c r="E214">
        <f t="shared" si="27"/>
        <v>0.67596649974378142</v>
      </c>
      <c r="F214">
        <f t="shared" si="28"/>
        <v>0.1434601513670439</v>
      </c>
      <c r="G214">
        <f t="shared" si="29"/>
        <v>0</v>
      </c>
    </row>
    <row r="215" spans="2:7" x14ac:dyDescent="0.2">
      <c r="B215">
        <v>0.73787608397164428</v>
      </c>
      <c r="C215">
        <v>5.5996708174201491E-3</v>
      </c>
      <c r="D215">
        <f t="shared" si="26"/>
        <v>0.73227641315422409</v>
      </c>
      <c r="E215">
        <f t="shared" si="27"/>
        <v>0.74347575478906447</v>
      </c>
      <c r="F215">
        <f t="shared" si="28"/>
        <v>0.1434601513670439</v>
      </c>
      <c r="G215">
        <f t="shared" si="29"/>
        <v>0</v>
      </c>
    </row>
    <row r="216" spans="2:7" x14ac:dyDescent="0.2">
      <c r="B216">
        <v>0.85443366393834763</v>
      </c>
      <c r="C216">
        <v>5.4131337241158546E-3</v>
      </c>
      <c r="D216">
        <f t="shared" si="26"/>
        <v>0.84902053021423174</v>
      </c>
      <c r="E216">
        <f t="shared" si="27"/>
        <v>0.85984679766246352</v>
      </c>
      <c r="F216">
        <f t="shared" si="28"/>
        <v>0.1434601513670439</v>
      </c>
      <c r="G216">
        <f t="shared" si="29"/>
        <v>0</v>
      </c>
    </row>
    <row r="217" spans="2:7" x14ac:dyDescent="0.2">
      <c r="B217">
        <v>0.75080428815478173</v>
      </c>
      <c r="C217">
        <v>5.4052229013784444E-3</v>
      </c>
      <c r="D217">
        <f t="shared" si="26"/>
        <v>0.74539906525340327</v>
      </c>
      <c r="E217">
        <f t="shared" si="27"/>
        <v>0.75620951105616019</v>
      </c>
      <c r="F217">
        <f t="shared" si="28"/>
        <v>0.1434601513670439</v>
      </c>
      <c r="G217">
        <f t="shared" si="29"/>
        <v>0</v>
      </c>
    </row>
    <row r="218" spans="2:7" x14ac:dyDescent="0.2">
      <c r="B218">
        <v>0.56709068040631649</v>
      </c>
      <c r="C218">
        <v>5.1552723590308257E-3</v>
      </c>
      <c r="D218">
        <f t="shared" si="26"/>
        <v>0.5619354080472857</v>
      </c>
      <c r="E218">
        <f t="shared" si="27"/>
        <v>0.57224595276534729</v>
      </c>
      <c r="F218">
        <f t="shared" si="28"/>
        <v>0.1434601513670439</v>
      </c>
      <c r="G218">
        <f t="shared" si="29"/>
        <v>0</v>
      </c>
    </row>
    <row r="219" spans="2:7" x14ac:dyDescent="0.2">
      <c r="B219">
        <v>8.4458622385350957E-2</v>
      </c>
      <c r="C219">
        <v>5.1345086589084481E-3</v>
      </c>
      <c r="D219">
        <f t="shared" si="26"/>
        <v>7.9324113726442505E-2</v>
      </c>
      <c r="E219">
        <f t="shared" si="27"/>
        <v>8.9593131044259408E-2</v>
      </c>
      <c r="F219">
        <f t="shared" si="28"/>
        <v>7.9324113726442505E-2</v>
      </c>
      <c r="G219">
        <f t="shared" si="29"/>
        <v>1</v>
      </c>
    </row>
    <row r="220" spans="2:7" x14ac:dyDescent="0.2">
      <c r="B220">
        <v>0.65773305768043011</v>
      </c>
      <c r="C220">
        <v>5.0689870632973427E-3</v>
      </c>
      <c r="D220">
        <f t="shared" si="26"/>
        <v>0.65266407061713272</v>
      </c>
      <c r="E220">
        <f t="shared" si="27"/>
        <v>0.6628020447437275</v>
      </c>
      <c r="F220">
        <f t="shared" si="28"/>
        <v>7.9324113726442505E-2</v>
      </c>
      <c r="G220">
        <f t="shared" si="29"/>
        <v>0</v>
      </c>
    </row>
    <row r="221" spans="2:7" x14ac:dyDescent="0.2">
      <c r="B221">
        <v>0.4655157805641138</v>
      </c>
      <c r="C221">
        <v>5.0139398197657338E-3</v>
      </c>
      <c r="D221">
        <f t="shared" si="26"/>
        <v>0.46050184074434808</v>
      </c>
      <c r="E221">
        <f t="shared" si="27"/>
        <v>0.47052972038387952</v>
      </c>
      <c r="F221">
        <f t="shared" si="28"/>
        <v>7.9324113726442505E-2</v>
      </c>
      <c r="G221">
        <f t="shared" si="29"/>
        <v>0</v>
      </c>
    </row>
    <row r="222" spans="2:7" x14ac:dyDescent="0.2">
      <c r="B222">
        <v>0.42051762537220322</v>
      </c>
      <c r="C222">
        <v>4.9684040093986763E-3</v>
      </c>
      <c r="D222">
        <f t="shared" si="26"/>
        <v>0.41554922136280453</v>
      </c>
      <c r="E222">
        <f t="shared" si="27"/>
        <v>0.4254860293816019</v>
      </c>
      <c r="F222">
        <f t="shared" si="28"/>
        <v>7.9324113726442505E-2</v>
      </c>
      <c r="G222">
        <f t="shared" si="29"/>
        <v>0</v>
      </c>
    </row>
    <row r="223" spans="2:7" x14ac:dyDescent="0.2">
      <c r="B223">
        <v>0.6026146588475112</v>
      </c>
      <c r="C223">
        <v>4.8842084080157992E-3</v>
      </c>
      <c r="D223">
        <f t="shared" si="26"/>
        <v>0.59773045043949535</v>
      </c>
      <c r="E223">
        <f t="shared" si="27"/>
        <v>0.60749886725552704</v>
      </c>
      <c r="F223">
        <f t="shared" si="28"/>
        <v>7.9324113726442505E-2</v>
      </c>
      <c r="G223">
        <f t="shared" si="29"/>
        <v>0</v>
      </c>
    </row>
    <row r="224" spans="2:7" x14ac:dyDescent="0.2">
      <c r="B224">
        <v>0.41630903279471032</v>
      </c>
      <c r="C224">
        <v>4.8760849036629458E-3</v>
      </c>
      <c r="D224">
        <f t="shared" si="26"/>
        <v>0.4114329478910474</v>
      </c>
      <c r="E224">
        <f t="shared" si="27"/>
        <v>0.42118511769837325</v>
      </c>
      <c r="F224">
        <f t="shared" si="28"/>
        <v>7.9324113726442505E-2</v>
      </c>
      <c r="G224">
        <f t="shared" si="29"/>
        <v>0</v>
      </c>
    </row>
    <row r="225" spans="2:7" x14ac:dyDescent="0.2">
      <c r="B225">
        <v>0.67468208153569986</v>
      </c>
      <c r="C225">
        <v>4.8683894411408824E-3</v>
      </c>
      <c r="D225">
        <f t="shared" si="26"/>
        <v>0.66981369209455899</v>
      </c>
      <c r="E225">
        <f t="shared" si="27"/>
        <v>0.67955047097684074</v>
      </c>
      <c r="F225">
        <f t="shared" si="28"/>
        <v>7.9324113726442505E-2</v>
      </c>
      <c r="G225">
        <f t="shared" si="29"/>
        <v>0</v>
      </c>
    </row>
    <row r="226" spans="2:7" x14ac:dyDescent="0.2">
      <c r="B226">
        <v>0.37477967269433088</v>
      </c>
      <c r="C226">
        <v>4.8603070810243933E-3</v>
      </c>
      <c r="D226">
        <f t="shared" si="26"/>
        <v>0.36991936561330646</v>
      </c>
      <c r="E226">
        <f t="shared" si="27"/>
        <v>0.3796399797753553</v>
      </c>
      <c r="F226">
        <f t="shared" si="28"/>
        <v>7.9324113726442505E-2</v>
      </c>
      <c r="G226">
        <f t="shared" si="29"/>
        <v>0</v>
      </c>
    </row>
    <row r="227" spans="2:7" x14ac:dyDescent="0.2">
      <c r="B227">
        <v>0.50224020371841638</v>
      </c>
      <c r="C227">
        <v>4.8001454944511879E-3</v>
      </c>
      <c r="D227">
        <f t="shared" si="26"/>
        <v>0.4974400582239652</v>
      </c>
      <c r="E227">
        <f t="shared" si="27"/>
        <v>0.50704034921286756</v>
      </c>
      <c r="F227">
        <f t="shared" si="28"/>
        <v>7.9324113726442505E-2</v>
      </c>
      <c r="G227">
        <f t="shared" si="29"/>
        <v>0</v>
      </c>
    </row>
    <row r="228" spans="2:7" x14ac:dyDescent="0.2">
      <c r="B228">
        <v>0.44601601213380843</v>
      </c>
      <c r="C228">
        <v>4.7617102736222383E-3</v>
      </c>
      <c r="D228">
        <f t="shared" si="26"/>
        <v>0.44125430186018622</v>
      </c>
      <c r="E228">
        <f t="shared" si="27"/>
        <v>0.45077772240743064</v>
      </c>
      <c r="F228">
        <f t="shared" si="28"/>
        <v>7.9324113726442505E-2</v>
      </c>
      <c r="G228">
        <f t="shared" si="29"/>
        <v>0</v>
      </c>
    </row>
    <row r="229" spans="2:7" x14ac:dyDescent="0.2">
      <c r="B229">
        <v>0.51851755897715401</v>
      </c>
      <c r="C229">
        <v>4.6622578129600313E-3</v>
      </c>
      <c r="D229">
        <f t="shared" si="26"/>
        <v>0.51385530116419398</v>
      </c>
      <c r="E229">
        <f t="shared" si="27"/>
        <v>0.52317981679011405</v>
      </c>
      <c r="F229">
        <f t="shared" si="28"/>
        <v>7.9324113726442505E-2</v>
      </c>
      <c r="G229">
        <f t="shared" si="29"/>
        <v>0</v>
      </c>
    </row>
    <row r="230" spans="2:7" x14ac:dyDescent="0.2">
      <c r="B230">
        <v>0.47634224502734213</v>
      </c>
      <c r="C230">
        <v>4.6185748684066828E-3</v>
      </c>
      <c r="D230">
        <f t="shared" si="26"/>
        <v>0.47172367015893546</v>
      </c>
      <c r="E230">
        <f t="shared" si="27"/>
        <v>0.48096081989574879</v>
      </c>
      <c r="F230">
        <f t="shared" si="28"/>
        <v>7.9324113726442505E-2</v>
      </c>
      <c r="G230">
        <f t="shared" si="29"/>
        <v>0</v>
      </c>
    </row>
    <row r="231" spans="2:7" x14ac:dyDescent="0.2">
      <c r="B231">
        <v>0.51752629030030484</v>
      </c>
      <c r="C231">
        <v>4.6090906849450084E-3</v>
      </c>
      <c r="D231">
        <f t="shared" si="26"/>
        <v>0.51291719961535986</v>
      </c>
      <c r="E231">
        <f t="shared" si="27"/>
        <v>0.52213538098524981</v>
      </c>
      <c r="F231">
        <f t="shared" si="28"/>
        <v>7.9324113726442505E-2</v>
      </c>
      <c r="G231">
        <f t="shared" si="29"/>
        <v>0</v>
      </c>
    </row>
    <row r="232" spans="2:7" x14ac:dyDescent="0.2">
      <c r="B232">
        <v>0.47544196233058977</v>
      </c>
      <c r="C232">
        <v>4.549722821809263E-3</v>
      </c>
      <c r="D232">
        <f t="shared" si="26"/>
        <v>0.47089223950878051</v>
      </c>
      <c r="E232">
        <f t="shared" si="27"/>
        <v>0.47999168515239904</v>
      </c>
      <c r="F232">
        <f t="shared" si="28"/>
        <v>7.9324113726442505E-2</v>
      </c>
      <c r="G232">
        <f t="shared" si="29"/>
        <v>0</v>
      </c>
    </row>
    <row r="233" spans="2:7" x14ac:dyDescent="0.2">
      <c r="B233">
        <v>0.57530763378722638</v>
      </c>
      <c r="C233">
        <v>4.5211924668851697E-3</v>
      </c>
      <c r="D233">
        <f t="shared" si="26"/>
        <v>0.57078644132034118</v>
      </c>
      <c r="E233">
        <f t="shared" si="27"/>
        <v>0.57982882625411158</v>
      </c>
      <c r="F233">
        <f t="shared" si="28"/>
        <v>7.9324113726442505E-2</v>
      </c>
      <c r="G233">
        <f t="shared" si="29"/>
        <v>0</v>
      </c>
    </row>
    <row r="234" spans="2:7" x14ac:dyDescent="0.2">
      <c r="B234">
        <v>0.55740778332360708</v>
      </c>
      <c r="C234">
        <v>4.5110369876273987E-3</v>
      </c>
      <c r="D234">
        <f t="shared" si="26"/>
        <v>0.55289674633597963</v>
      </c>
      <c r="E234">
        <f t="shared" si="27"/>
        <v>0.56191882031123452</v>
      </c>
      <c r="F234">
        <f t="shared" si="28"/>
        <v>7.9324113726442505E-2</v>
      </c>
      <c r="G234">
        <f t="shared" si="29"/>
        <v>0</v>
      </c>
    </row>
    <row r="235" spans="2:7" x14ac:dyDescent="0.2">
      <c r="B235">
        <v>0.56668748806397828</v>
      </c>
      <c r="C235">
        <v>4.4452682561833979E-3</v>
      </c>
      <c r="D235">
        <f t="shared" si="26"/>
        <v>0.56224221980779487</v>
      </c>
      <c r="E235">
        <f t="shared" si="27"/>
        <v>0.57113275632016169</v>
      </c>
      <c r="F235">
        <f t="shared" si="28"/>
        <v>7.9324113726442505E-2</v>
      </c>
      <c r="G235">
        <f t="shared" si="29"/>
        <v>0</v>
      </c>
    </row>
    <row r="236" spans="2:7" x14ac:dyDescent="0.2">
      <c r="B236">
        <v>0.5754304709039082</v>
      </c>
      <c r="C236">
        <v>4.3636082225206223E-3</v>
      </c>
      <c r="D236">
        <f t="shared" si="26"/>
        <v>0.57106686268138762</v>
      </c>
      <c r="E236">
        <f t="shared" si="27"/>
        <v>0.57979407912642877</v>
      </c>
      <c r="F236">
        <f t="shared" si="28"/>
        <v>7.9324113726442505E-2</v>
      </c>
      <c r="G236">
        <f t="shared" si="29"/>
        <v>0</v>
      </c>
    </row>
    <row r="237" spans="2:7" x14ac:dyDescent="0.2">
      <c r="B237">
        <v>0.1707845273051608</v>
      </c>
      <c r="C237">
        <v>4.1372348498160526E-3</v>
      </c>
      <c r="D237">
        <f t="shared" si="26"/>
        <v>0.16664729245534476</v>
      </c>
      <c r="E237">
        <f t="shared" si="27"/>
        <v>0.17492176215497685</v>
      </c>
      <c r="F237">
        <f t="shared" si="28"/>
        <v>7.9324113726442505E-2</v>
      </c>
      <c r="G237">
        <f t="shared" si="29"/>
        <v>0</v>
      </c>
    </row>
    <row r="238" spans="2:7" x14ac:dyDescent="0.2">
      <c r="B238">
        <v>0.46263831419904311</v>
      </c>
      <c r="C238">
        <v>3.9700339843523362E-3</v>
      </c>
      <c r="D238">
        <f t="shared" si="26"/>
        <v>0.45866828021469075</v>
      </c>
      <c r="E238">
        <f t="shared" si="27"/>
        <v>0.46660834818339547</v>
      </c>
      <c r="F238">
        <f t="shared" si="28"/>
        <v>7.9324113726442505E-2</v>
      </c>
      <c r="G238">
        <f t="shared" si="29"/>
        <v>0</v>
      </c>
    </row>
    <row r="239" spans="2:7" x14ac:dyDescent="0.2">
      <c r="B239">
        <v>0.66229907886707051</v>
      </c>
      <c r="C239">
        <v>3.889109908174722E-3</v>
      </c>
      <c r="D239">
        <f t="shared" si="26"/>
        <v>0.65840996895889581</v>
      </c>
      <c r="E239">
        <f t="shared" si="27"/>
        <v>0.66618818877524522</v>
      </c>
      <c r="F239">
        <f t="shared" si="28"/>
        <v>7.9324113726442505E-2</v>
      </c>
      <c r="G239">
        <f t="shared" si="29"/>
        <v>0</v>
      </c>
    </row>
    <row r="240" spans="2:7" x14ac:dyDescent="0.2">
      <c r="B240">
        <v>0.56876603187932173</v>
      </c>
      <c r="C240">
        <v>3.675476643343879E-3</v>
      </c>
      <c r="D240">
        <f t="shared" si="26"/>
        <v>0.56509055523597784</v>
      </c>
      <c r="E240">
        <f t="shared" si="27"/>
        <v>0.57244150852266562</v>
      </c>
      <c r="F240">
        <f t="shared" si="28"/>
        <v>7.9324113726442505E-2</v>
      </c>
      <c r="G240">
        <f t="shared" si="29"/>
        <v>0</v>
      </c>
    </row>
    <row r="241" spans="2:7" x14ac:dyDescent="0.2">
      <c r="B241">
        <v>0.49386515953610299</v>
      </c>
      <c r="C241">
        <v>3.6606054444857259E-3</v>
      </c>
      <c r="D241">
        <f t="shared" si="26"/>
        <v>0.49020455409161728</v>
      </c>
      <c r="E241">
        <f t="shared" si="27"/>
        <v>0.4975257649805887</v>
      </c>
      <c r="F241">
        <f t="shared" si="28"/>
        <v>7.9324113726442505E-2</v>
      </c>
      <c r="G241">
        <f t="shared" si="29"/>
        <v>0</v>
      </c>
    </row>
    <row r="242" spans="2:7" x14ac:dyDescent="0.2">
      <c r="B242">
        <v>0.19622108314961689</v>
      </c>
      <c r="C242">
        <v>3.616756545709547E-3</v>
      </c>
      <c r="D242">
        <f t="shared" si="26"/>
        <v>0.19260432660390733</v>
      </c>
      <c r="E242">
        <f t="shared" si="27"/>
        <v>0.19983783969532645</v>
      </c>
      <c r="F242">
        <f t="shared" si="28"/>
        <v>7.9324113726442505E-2</v>
      </c>
      <c r="G242">
        <f t="shared" si="29"/>
        <v>0</v>
      </c>
    </row>
    <row r="243" spans="2:7" x14ac:dyDescent="0.2">
      <c r="B243">
        <v>0.41735142396681052</v>
      </c>
      <c r="C243">
        <v>3.5291035476340358E-3</v>
      </c>
      <c r="D243">
        <f t="shared" si="26"/>
        <v>0.41382232041917649</v>
      </c>
      <c r="E243">
        <f t="shared" si="27"/>
        <v>0.42088052751444455</v>
      </c>
      <c r="F243">
        <f t="shared" si="28"/>
        <v>7.9324113726442505E-2</v>
      </c>
      <c r="G243">
        <f t="shared" si="29"/>
        <v>0</v>
      </c>
    </row>
    <row r="244" spans="2:7" x14ac:dyDescent="0.2">
      <c r="B244">
        <v>0.41984825177542912</v>
      </c>
      <c r="C244">
        <v>3.5082964863473211E-3</v>
      </c>
      <c r="D244">
        <f t="shared" si="26"/>
        <v>0.4163399552890818</v>
      </c>
      <c r="E244">
        <f t="shared" si="27"/>
        <v>0.42335654826177643</v>
      </c>
      <c r="F244">
        <f t="shared" si="28"/>
        <v>7.9324113726442505E-2</v>
      </c>
      <c r="G244">
        <f t="shared" si="29"/>
        <v>0</v>
      </c>
    </row>
    <row r="245" spans="2:7" x14ac:dyDescent="0.2">
      <c r="B245">
        <v>0.57416374668103443</v>
      </c>
      <c r="C245">
        <v>3.4768403087800251E-3</v>
      </c>
      <c r="D245">
        <f t="shared" si="26"/>
        <v>0.57068690637225439</v>
      </c>
      <c r="E245">
        <f t="shared" si="27"/>
        <v>0.57764058698981446</v>
      </c>
      <c r="F245">
        <f t="shared" si="28"/>
        <v>7.9324113726442505E-2</v>
      </c>
      <c r="G245">
        <f t="shared" si="29"/>
        <v>0</v>
      </c>
    </row>
    <row r="246" spans="2:7" x14ac:dyDescent="0.2">
      <c r="B246">
        <v>0.13529376045531091</v>
      </c>
      <c r="C246">
        <v>3.475350910985729E-3</v>
      </c>
      <c r="D246">
        <f t="shared" si="26"/>
        <v>0.13181840954432519</v>
      </c>
      <c r="E246">
        <f t="shared" si="27"/>
        <v>0.13876911136629663</v>
      </c>
      <c r="F246">
        <f t="shared" si="28"/>
        <v>7.9324113726442505E-2</v>
      </c>
      <c r="G246">
        <f t="shared" si="29"/>
        <v>0</v>
      </c>
    </row>
    <row r="247" spans="2:7" x14ac:dyDescent="0.2">
      <c r="B247">
        <v>0.16440567203609069</v>
      </c>
      <c r="C247">
        <v>3.4522846019748011E-3</v>
      </c>
      <c r="D247">
        <f t="shared" si="26"/>
        <v>0.16095338743411589</v>
      </c>
      <c r="E247">
        <f t="shared" si="27"/>
        <v>0.16785795663806549</v>
      </c>
      <c r="F247">
        <f t="shared" si="28"/>
        <v>7.9324113726442505E-2</v>
      </c>
      <c r="G247">
        <f t="shared" si="29"/>
        <v>0</v>
      </c>
    </row>
    <row r="248" spans="2:7" x14ac:dyDescent="0.2">
      <c r="B248">
        <v>0.52302924778985693</v>
      </c>
      <c r="C248">
        <v>3.2886241146487961E-3</v>
      </c>
      <c r="D248">
        <f t="shared" si="26"/>
        <v>0.51974062367520812</v>
      </c>
      <c r="E248">
        <f t="shared" si="27"/>
        <v>0.52631787190450574</v>
      </c>
      <c r="F248">
        <f t="shared" si="28"/>
        <v>7.9324113726442505E-2</v>
      </c>
      <c r="G248">
        <f t="shared" si="29"/>
        <v>0</v>
      </c>
    </row>
    <row r="249" spans="2:7" x14ac:dyDescent="0.2">
      <c r="B249">
        <v>0.74740788428599125</v>
      </c>
      <c r="C249">
        <v>3.2692385847942502E-3</v>
      </c>
      <c r="D249">
        <f t="shared" si="26"/>
        <v>0.74413864570119703</v>
      </c>
      <c r="E249">
        <f t="shared" si="27"/>
        <v>0.75067712287078547</v>
      </c>
      <c r="F249">
        <f t="shared" si="28"/>
        <v>7.9324113726442505E-2</v>
      </c>
      <c r="G249">
        <f t="shared" si="29"/>
        <v>0</v>
      </c>
    </row>
    <row r="250" spans="2:7" x14ac:dyDescent="0.2">
      <c r="B250">
        <v>0.42889313111913352</v>
      </c>
      <c r="C250">
        <v>3.1540557466290318E-3</v>
      </c>
      <c r="D250">
        <f t="shared" si="26"/>
        <v>0.42573907537250449</v>
      </c>
      <c r="E250">
        <f t="shared" si="27"/>
        <v>0.43204718686576254</v>
      </c>
      <c r="F250">
        <f t="shared" si="28"/>
        <v>7.9324113726442505E-2</v>
      </c>
      <c r="G250">
        <f t="shared" si="29"/>
        <v>0</v>
      </c>
    </row>
    <row r="251" spans="2:7" x14ac:dyDescent="0.2">
      <c r="B251">
        <v>0.38737666805601612</v>
      </c>
      <c r="C251">
        <v>3.1432604308156459E-3</v>
      </c>
      <c r="D251">
        <f t="shared" si="26"/>
        <v>0.38423340762520047</v>
      </c>
      <c r="E251">
        <f t="shared" si="27"/>
        <v>0.39051992848683176</v>
      </c>
      <c r="F251">
        <f t="shared" si="28"/>
        <v>7.9324113726442505E-2</v>
      </c>
      <c r="G251">
        <f t="shared" si="29"/>
        <v>0</v>
      </c>
    </row>
    <row r="252" spans="2:7" x14ac:dyDescent="0.2">
      <c r="B252">
        <v>0.65646211861144355</v>
      </c>
      <c r="C252">
        <v>2.997222992303717E-3</v>
      </c>
      <c r="D252">
        <f t="shared" si="26"/>
        <v>0.65346489561913979</v>
      </c>
      <c r="E252">
        <f t="shared" si="27"/>
        <v>0.65945934160374731</v>
      </c>
      <c r="F252">
        <f t="shared" si="28"/>
        <v>7.9324113726442505E-2</v>
      </c>
      <c r="G252">
        <f t="shared" si="29"/>
        <v>0</v>
      </c>
    </row>
    <row r="253" spans="2:7" x14ac:dyDescent="0.2">
      <c r="B253">
        <v>0.62686091912652586</v>
      </c>
      <c r="C253">
        <v>2.804833040549526E-3</v>
      </c>
      <c r="D253">
        <f t="shared" si="26"/>
        <v>0.62405608608597629</v>
      </c>
      <c r="E253">
        <f t="shared" si="27"/>
        <v>0.62966575216707543</v>
      </c>
      <c r="F253">
        <f t="shared" si="28"/>
        <v>7.9324113726442505E-2</v>
      </c>
      <c r="G253">
        <f t="shared" si="29"/>
        <v>0</v>
      </c>
    </row>
    <row r="254" spans="2:7" x14ac:dyDescent="0.2">
      <c r="B254">
        <v>0.57667143084760197</v>
      </c>
      <c r="C254">
        <v>2.7955393491889912E-3</v>
      </c>
      <c r="D254">
        <f t="shared" si="26"/>
        <v>0.573875891498413</v>
      </c>
      <c r="E254">
        <f t="shared" si="27"/>
        <v>0.57946697019679094</v>
      </c>
      <c r="F254">
        <f t="shared" si="28"/>
        <v>7.9324113726442505E-2</v>
      </c>
      <c r="G254">
        <f t="shared" si="29"/>
        <v>0</v>
      </c>
    </row>
    <row r="255" spans="2:7" x14ac:dyDescent="0.2">
      <c r="B255">
        <v>0.35633569288741951</v>
      </c>
      <c r="C255">
        <v>2.707809085233322E-3</v>
      </c>
      <c r="D255">
        <f t="shared" si="26"/>
        <v>0.35362788380218618</v>
      </c>
      <c r="E255">
        <f t="shared" si="27"/>
        <v>0.35904350197265283</v>
      </c>
      <c r="F255">
        <f t="shared" si="28"/>
        <v>7.9324113726442505E-2</v>
      </c>
      <c r="G255">
        <f t="shared" si="29"/>
        <v>0</v>
      </c>
    </row>
    <row r="256" spans="2:7" x14ac:dyDescent="0.2">
      <c r="B256">
        <v>0.43041988497058781</v>
      </c>
      <c r="C256">
        <v>2.6328187804412948E-3</v>
      </c>
      <c r="D256">
        <f t="shared" si="26"/>
        <v>0.4277870661901465</v>
      </c>
      <c r="E256">
        <f t="shared" si="27"/>
        <v>0.43305270375102911</v>
      </c>
      <c r="F256">
        <f t="shared" si="28"/>
        <v>7.9324113726442505E-2</v>
      </c>
      <c r="G256">
        <f t="shared" si="29"/>
        <v>0</v>
      </c>
    </row>
    <row r="257" spans="2:7" x14ac:dyDescent="0.2">
      <c r="B257">
        <v>0.42823239539703578</v>
      </c>
      <c r="C257">
        <v>2.5050274942234299E-3</v>
      </c>
      <c r="D257">
        <f t="shared" si="26"/>
        <v>0.42572736790281235</v>
      </c>
      <c r="E257">
        <f t="shared" si="27"/>
        <v>0.43073742289125921</v>
      </c>
      <c r="F257">
        <f t="shared" si="28"/>
        <v>7.9324113726442505E-2</v>
      </c>
      <c r="G257">
        <f t="shared" si="29"/>
        <v>0</v>
      </c>
    </row>
    <row r="258" spans="2:7" x14ac:dyDescent="0.2">
      <c r="B258">
        <v>0.77539254520150536</v>
      </c>
      <c r="C258">
        <v>2.356014299132036E-3</v>
      </c>
      <c r="D258">
        <f t="shared" si="26"/>
        <v>0.77303653090237334</v>
      </c>
      <c r="E258">
        <f t="shared" si="27"/>
        <v>0.77774855950063737</v>
      </c>
      <c r="F258">
        <f t="shared" si="28"/>
        <v>7.9324113726442505E-2</v>
      </c>
      <c r="G258">
        <f t="shared" si="29"/>
        <v>0</v>
      </c>
    </row>
    <row r="259" spans="2:7" x14ac:dyDescent="0.2">
      <c r="B259">
        <v>0.37780105002636688</v>
      </c>
      <c r="C259">
        <v>2.2318452511214939E-3</v>
      </c>
      <c r="D259">
        <f t="shared" ref="D259:D281" si="34">B259-C259</f>
        <v>0.37556920477524541</v>
      </c>
      <c r="E259">
        <f t="shared" ref="E259:E281" si="35">B259+C259</f>
        <v>0.38003289527748835</v>
      </c>
      <c r="F259">
        <f t="shared" si="28"/>
        <v>7.9324113726442505E-2</v>
      </c>
      <c r="G259">
        <f t="shared" si="29"/>
        <v>0</v>
      </c>
    </row>
    <row r="260" spans="2:7" x14ac:dyDescent="0.2">
      <c r="B260">
        <v>0.55643477779731154</v>
      </c>
      <c r="C260">
        <v>2.217291393649267E-3</v>
      </c>
      <c r="D260">
        <f t="shared" si="34"/>
        <v>0.55421748640366231</v>
      </c>
      <c r="E260">
        <f t="shared" si="35"/>
        <v>0.55865206919096078</v>
      </c>
      <c r="F260">
        <f t="shared" ref="F260:F281" si="36">IF(B260&gt;F259,F259,D260)</f>
        <v>7.9324113726442505E-2</v>
      </c>
      <c r="G260">
        <f t="shared" ref="G260:G281" si="37">IF(F260=F259,0,1)</f>
        <v>0</v>
      </c>
    </row>
    <row r="261" spans="2:7" x14ac:dyDescent="0.2">
      <c r="B261">
        <v>0.41077396951857359</v>
      </c>
      <c r="C261">
        <v>2.1054633707947778E-3</v>
      </c>
      <c r="D261">
        <f t="shared" si="34"/>
        <v>0.40866850614777883</v>
      </c>
      <c r="E261">
        <f t="shared" si="35"/>
        <v>0.41287943288936835</v>
      </c>
      <c r="F261">
        <f t="shared" si="36"/>
        <v>7.9324113726442505E-2</v>
      </c>
      <c r="G261">
        <f t="shared" si="37"/>
        <v>0</v>
      </c>
    </row>
    <row r="262" spans="2:7" x14ac:dyDescent="0.2">
      <c r="B262">
        <v>0.64984438748385964</v>
      </c>
      <c r="C262">
        <v>2.0821699580131181E-3</v>
      </c>
      <c r="D262">
        <f t="shared" si="34"/>
        <v>0.64776221752584651</v>
      </c>
      <c r="E262">
        <f t="shared" si="35"/>
        <v>0.65192655744187278</v>
      </c>
      <c r="F262">
        <f t="shared" si="36"/>
        <v>7.9324113726442505E-2</v>
      </c>
      <c r="G262">
        <f t="shared" si="37"/>
        <v>0</v>
      </c>
    </row>
    <row r="263" spans="2:7" x14ac:dyDescent="0.2">
      <c r="B263">
        <v>0.50426770864142212</v>
      </c>
      <c r="C263">
        <v>2.036184534790964E-3</v>
      </c>
      <c r="D263">
        <f t="shared" si="34"/>
        <v>0.50223152410663119</v>
      </c>
      <c r="E263">
        <f t="shared" si="35"/>
        <v>0.50630389317621305</v>
      </c>
      <c r="F263">
        <f t="shared" si="36"/>
        <v>7.9324113726442505E-2</v>
      </c>
      <c r="G263">
        <f t="shared" si="37"/>
        <v>0</v>
      </c>
    </row>
    <row r="264" spans="2:7" x14ac:dyDescent="0.2">
      <c r="B264">
        <v>0.89535173110766131</v>
      </c>
      <c r="C264">
        <v>1.996712324977687E-3</v>
      </c>
      <c r="D264">
        <f t="shared" si="34"/>
        <v>0.89335501878268364</v>
      </c>
      <c r="E264">
        <f t="shared" si="35"/>
        <v>0.89734844343263898</v>
      </c>
      <c r="F264">
        <f t="shared" si="36"/>
        <v>7.9324113726442505E-2</v>
      </c>
      <c r="G264">
        <f t="shared" si="37"/>
        <v>0</v>
      </c>
    </row>
    <row r="265" spans="2:7" x14ac:dyDescent="0.2">
      <c r="B265">
        <v>0.65768316972727414</v>
      </c>
      <c r="C265">
        <v>1.9966591062924839E-3</v>
      </c>
      <c r="D265">
        <f t="shared" si="34"/>
        <v>0.65568651062098171</v>
      </c>
      <c r="E265">
        <f t="shared" si="35"/>
        <v>0.65967982883356657</v>
      </c>
      <c r="F265">
        <f t="shared" si="36"/>
        <v>7.9324113726442505E-2</v>
      </c>
      <c r="G265">
        <f t="shared" si="37"/>
        <v>0</v>
      </c>
    </row>
    <row r="266" spans="2:7" x14ac:dyDescent="0.2">
      <c r="B266">
        <v>0.52156112741798444</v>
      </c>
      <c r="C266">
        <v>1.784092842334572E-3</v>
      </c>
      <c r="D266">
        <f t="shared" si="34"/>
        <v>0.51977703457564983</v>
      </c>
      <c r="E266">
        <f t="shared" si="35"/>
        <v>0.52334522026031904</v>
      </c>
      <c r="F266">
        <f t="shared" si="36"/>
        <v>7.9324113726442505E-2</v>
      </c>
      <c r="G266">
        <f t="shared" si="37"/>
        <v>0</v>
      </c>
    </row>
    <row r="267" spans="2:7" x14ac:dyDescent="0.2">
      <c r="B267">
        <v>0.33209263258878541</v>
      </c>
      <c r="C267">
        <v>1.71285786245855E-3</v>
      </c>
      <c r="D267">
        <f t="shared" si="34"/>
        <v>0.33037977472632685</v>
      </c>
      <c r="E267">
        <f t="shared" si="35"/>
        <v>0.33380549045124397</v>
      </c>
      <c r="F267">
        <f t="shared" si="36"/>
        <v>7.9324113726442505E-2</v>
      </c>
      <c r="G267">
        <f t="shared" si="37"/>
        <v>0</v>
      </c>
    </row>
    <row r="268" spans="2:7" x14ac:dyDescent="0.2">
      <c r="B268">
        <v>0.67482654845865475</v>
      </c>
      <c r="C268">
        <v>1.5412690854560329E-3</v>
      </c>
      <c r="D268">
        <f t="shared" si="34"/>
        <v>0.67328527937319871</v>
      </c>
      <c r="E268">
        <f t="shared" si="35"/>
        <v>0.67636781754411079</v>
      </c>
      <c r="F268">
        <f t="shared" si="36"/>
        <v>7.9324113726442505E-2</v>
      </c>
      <c r="G268">
        <f t="shared" si="37"/>
        <v>0</v>
      </c>
    </row>
    <row r="269" spans="2:7" x14ac:dyDescent="0.2">
      <c r="B269">
        <v>0.49797023230172022</v>
      </c>
      <c r="C269">
        <v>1.5172200397242661E-3</v>
      </c>
      <c r="D269">
        <f t="shared" si="34"/>
        <v>0.49645301226199595</v>
      </c>
      <c r="E269">
        <f t="shared" si="35"/>
        <v>0.49948745234144448</v>
      </c>
      <c r="F269">
        <f t="shared" si="36"/>
        <v>7.9324113726442505E-2</v>
      </c>
      <c r="G269">
        <f t="shared" si="37"/>
        <v>0</v>
      </c>
    </row>
    <row r="270" spans="2:7" x14ac:dyDescent="0.2">
      <c r="B270">
        <v>7.4563506311372332E-2</v>
      </c>
      <c r="C270">
        <v>1.5037073205719309E-3</v>
      </c>
      <c r="D270">
        <f t="shared" si="34"/>
        <v>7.3059798990800395E-2</v>
      </c>
      <c r="E270">
        <f t="shared" si="35"/>
        <v>7.6067213631944269E-2</v>
      </c>
      <c r="F270">
        <f t="shared" si="36"/>
        <v>7.3059798990800395E-2</v>
      </c>
      <c r="G270">
        <f t="shared" si="37"/>
        <v>1</v>
      </c>
    </row>
    <row r="271" spans="2:7" x14ac:dyDescent="0.2">
      <c r="B271">
        <v>0.46615780343952212</v>
      </c>
      <c r="C271">
        <v>1.3037028380568001E-3</v>
      </c>
      <c r="D271">
        <f t="shared" si="34"/>
        <v>0.46485410060146531</v>
      </c>
      <c r="E271">
        <f t="shared" si="35"/>
        <v>0.46746150627757893</v>
      </c>
      <c r="F271">
        <f t="shared" si="36"/>
        <v>7.3059798990800395E-2</v>
      </c>
      <c r="G271">
        <f t="shared" si="37"/>
        <v>0</v>
      </c>
    </row>
    <row r="272" spans="2:7" x14ac:dyDescent="0.2">
      <c r="B272">
        <v>0.74140889376172603</v>
      </c>
      <c r="C272">
        <v>1.2617656079738819E-3</v>
      </c>
      <c r="D272">
        <f t="shared" si="34"/>
        <v>0.74014712815375217</v>
      </c>
      <c r="E272">
        <f t="shared" si="35"/>
        <v>0.74267065936969989</v>
      </c>
      <c r="F272">
        <f t="shared" si="36"/>
        <v>7.3059798990800395E-2</v>
      </c>
      <c r="G272">
        <f t="shared" si="37"/>
        <v>0</v>
      </c>
    </row>
    <row r="273" spans="2:7" x14ac:dyDescent="0.2">
      <c r="B273">
        <v>0.62629408615185944</v>
      </c>
      <c r="C273">
        <v>1.253065730196808E-3</v>
      </c>
      <c r="D273">
        <f t="shared" si="34"/>
        <v>0.62504102042166265</v>
      </c>
      <c r="E273">
        <f t="shared" si="35"/>
        <v>0.62754715188205623</v>
      </c>
      <c r="F273">
        <f t="shared" si="36"/>
        <v>7.3059798990800395E-2</v>
      </c>
      <c r="G273">
        <f t="shared" si="37"/>
        <v>0</v>
      </c>
    </row>
    <row r="274" spans="2:7" x14ac:dyDescent="0.2">
      <c r="B274">
        <v>0.36443633151377608</v>
      </c>
      <c r="C274">
        <v>1.14185235790685E-3</v>
      </c>
      <c r="D274">
        <f t="shared" si="34"/>
        <v>0.36329447915586921</v>
      </c>
      <c r="E274">
        <f t="shared" si="35"/>
        <v>0.36557818387168295</v>
      </c>
      <c r="F274">
        <f t="shared" si="36"/>
        <v>7.3059798990800395E-2</v>
      </c>
      <c r="G274">
        <f t="shared" si="37"/>
        <v>0</v>
      </c>
    </row>
    <row r="275" spans="2:7" x14ac:dyDescent="0.2">
      <c r="B275">
        <v>0.30035088832481011</v>
      </c>
      <c r="C275">
        <v>1.1206178661602941E-3</v>
      </c>
      <c r="D275">
        <f t="shared" si="34"/>
        <v>0.29923027045864981</v>
      </c>
      <c r="E275">
        <f t="shared" si="35"/>
        <v>0.30147150619097041</v>
      </c>
      <c r="F275">
        <f t="shared" si="36"/>
        <v>7.3059798990800395E-2</v>
      </c>
      <c r="G275">
        <f t="shared" si="37"/>
        <v>0</v>
      </c>
    </row>
    <row r="276" spans="2:7" x14ac:dyDescent="0.2">
      <c r="B276">
        <v>0.37226498676703168</v>
      </c>
      <c r="C276">
        <v>1.0594244265274321E-3</v>
      </c>
      <c r="D276">
        <f t="shared" si="34"/>
        <v>0.37120556234050422</v>
      </c>
      <c r="E276">
        <f t="shared" si="35"/>
        <v>0.37332441119355914</v>
      </c>
      <c r="F276">
        <f t="shared" si="36"/>
        <v>7.3059798990800395E-2</v>
      </c>
      <c r="G276">
        <f t="shared" si="37"/>
        <v>0</v>
      </c>
    </row>
    <row r="277" spans="2:7" x14ac:dyDescent="0.2">
      <c r="B277">
        <v>0.54152652413788871</v>
      </c>
      <c r="C277">
        <v>1.0012592683189109E-3</v>
      </c>
      <c r="D277">
        <f t="shared" si="34"/>
        <v>0.54052526486956975</v>
      </c>
      <c r="E277">
        <f t="shared" si="35"/>
        <v>0.54252778340620766</v>
      </c>
      <c r="F277">
        <f t="shared" si="36"/>
        <v>7.3059798990800395E-2</v>
      </c>
      <c r="G277">
        <f t="shared" si="37"/>
        <v>0</v>
      </c>
    </row>
    <row r="278" spans="2:7" x14ac:dyDescent="0.2">
      <c r="B278">
        <v>0.44627380764766428</v>
      </c>
      <c r="C278">
        <v>9.7612671309064123E-4</v>
      </c>
      <c r="D278">
        <f t="shared" si="34"/>
        <v>0.44529768093457361</v>
      </c>
      <c r="E278">
        <f t="shared" si="35"/>
        <v>0.44724993436075494</v>
      </c>
      <c r="F278">
        <f t="shared" si="36"/>
        <v>7.3059798990800395E-2</v>
      </c>
      <c r="G278">
        <f t="shared" si="37"/>
        <v>0</v>
      </c>
    </row>
    <row r="279" spans="2:7" x14ac:dyDescent="0.2">
      <c r="B279">
        <v>0.70099104932274758</v>
      </c>
      <c r="C279">
        <v>8.3358417933041972E-4</v>
      </c>
      <c r="D279">
        <f t="shared" si="34"/>
        <v>0.70015746514341715</v>
      </c>
      <c r="E279">
        <f t="shared" si="35"/>
        <v>0.70182463350207802</v>
      </c>
      <c r="F279">
        <f t="shared" si="36"/>
        <v>7.3059798990800395E-2</v>
      </c>
      <c r="G279">
        <f t="shared" si="37"/>
        <v>0</v>
      </c>
    </row>
    <row r="280" spans="2:7" x14ac:dyDescent="0.2">
      <c r="B280">
        <v>0.55008564679703764</v>
      </c>
      <c r="C280">
        <v>5.8426504836833206E-4</v>
      </c>
      <c r="D280">
        <f t="shared" si="34"/>
        <v>0.54950138174866936</v>
      </c>
      <c r="E280">
        <f t="shared" si="35"/>
        <v>0.55066991184540592</v>
      </c>
      <c r="F280">
        <f t="shared" si="36"/>
        <v>7.3059798990800395E-2</v>
      </c>
      <c r="G280">
        <f t="shared" si="37"/>
        <v>0</v>
      </c>
    </row>
    <row r="281" spans="2:7" x14ac:dyDescent="0.2">
      <c r="B281">
        <v>0.52113947351589796</v>
      </c>
      <c r="C281">
        <v>4.4276436015314749E-4</v>
      </c>
      <c r="D281">
        <f t="shared" si="34"/>
        <v>0.52069670915574484</v>
      </c>
      <c r="E281">
        <f t="shared" si="35"/>
        <v>0.52158223787605107</v>
      </c>
      <c r="F281">
        <f t="shared" si="36"/>
        <v>7.3059798990800395E-2</v>
      </c>
      <c r="G281">
        <f t="shared" si="37"/>
        <v>0</v>
      </c>
    </row>
  </sheetData>
  <sortState xmlns:xlrd2="http://schemas.microsoft.com/office/spreadsheetml/2017/richdata2" ref="L2:M285">
    <sortCondition descending="1" ref="L2:L2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Paul dataset</vt:lpstr>
      <vt:lpstr>Full results</vt:lpstr>
      <vt:lpstr>Doublons</vt:lpstr>
      <vt:lpstr>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Jean-Loup Faulon</cp:lastModifiedBy>
  <dcterms:created xsi:type="dcterms:W3CDTF">2023-08-16T23:28:59Z</dcterms:created>
  <dcterms:modified xsi:type="dcterms:W3CDTF">2024-05-17T14:36:25Z</dcterms:modified>
</cp:coreProperties>
</file>